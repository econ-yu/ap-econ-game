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eAI项目\tools\"/>
    </mc:Choice>
  </mc:AlternateContent>
  <xr:revisionPtr revIDLastSave="0" documentId="13_ncr:1_{949FCB76-1A12-4C49-8819-C4186179E3AD}" xr6:coauthVersionLast="47" xr6:coauthVersionMax="47" xr10:uidLastSave="{00000000-0000-0000-0000-000000000000}"/>
  <bookViews>
    <workbookView xWindow="-103" yWindow="-103" windowWidth="24892" windowHeight="15060" activeTab="4" xr2:uid="{57E6712B-A5AC-4568-AC08-7C845DE0D712}"/>
  </bookViews>
  <sheets>
    <sheet name="PolicyActions" sheetId="1" r:id="rId1"/>
    <sheet name="EconomicVariables" sheetId="2" r:id="rId2"/>
    <sheet name="PolicyEffects" sheetId="3" r:id="rId3"/>
    <sheet name="DiagramData" sheetId="4" r:id="rId4"/>
    <sheet name="EconomicEv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1" i="3" l="1"/>
  <c r="F212" i="3"/>
  <c r="F213" i="3"/>
  <c r="F214" i="3"/>
  <c r="F215" i="3"/>
  <c r="F216" i="3"/>
  <c r="F217" i="3"/>
  <c r="F218" i="3"/>
  <c r="F219" i="3"/>
  <c r="F220" i="3"/>
  <c r="F221" i="3"/>
  <c r="F206" i="3"/>
  <c r="F207" i="3"/>
  <c r="F208" i="3"/>
  <c r="F209" i="3"/>
  <c r="F210" i="3"/>
  <c r="F204" i="3"/>
  <c r="F205" i="3"/>
  <c r="F203" i="3"/>
  <c r="F154" i="3"/>
  <c r="F163" i="3" s="1"/>
  <c r="F172" i="3" s="1"/>
  <c r="F181" i="3" s="1"/>
  <c r="F190" i="3" s="1"/>
  <c r="F199" i="3" s="1"/>
  <c r="F155" i="3"/>
  <c r="F164" i="3" s="1"/>
  <c r="F173" i="3" s="1"/>
  <c r="F182" i="3" s="1"/>
  <c r="F191" i="3" s="1"/>
  <c r="F200" i="3" s="1"/>
  <c r="F156" i="3"/>
  <c r="F157" i="3"/>
  <c r="F158" i="3"/>
  <c r="F159" i="3"/>
  <c r="F168" i="3" s="1"/>
  <c r="F177" i="3" s="1"/>
  <c r="F186" i="3" s="1"/>
  <c r="F195" i="3" s="1"/>
  <c r="F160" i="3"/>
  <c r="F169" i="3" s="1"/>
  <c r="F178" i="3" s="1"/>
  <c r="F187" i="3" s="1"/>
  <c r="F196" i="3" s="1"/>
  <c r="F161" i="3"/>
  <c r="F170" i="3" s="1"/>
  <c r="F179" i="3" s="1"/>
  <c r="F188" i="3" s="1"/>
  <c r="F197" i="3" s="1"/>
  <c r="F165" i="3"/>
  <c r="F174" i="3" s="1"/>
  <c r="F183" i="3" s="1"/>
  <c r="F192" i="3" s="1"/>
  <c r="F201" i="3" s="1"/>
  <c r="F166" i="3"/>
  <c r="F175" i="3" s="1"/>
  <c r="F184" i="3" s="1"/>
  <c r="F193" i="3" s="1"/>
  <c r="F167" i="3"/>
  <c r="F176" i="3" s="1"/>
  <c r="F185" i="3" s="1"/>
  <c r="F194" i="3" s="1"/>
  <c r="F153" i="3"/>
  <c r="F162" i="3" s="1"/>
  <c r="F171" i="3" s="1"/>
  <c r="F180" i="3" s="1"/>
  <c r="F189" i="3" s="1"/>
  <c r="F198" i="3" s="1"/>
  <c r="F132" i="3"/>
  <c r="F140" i="3" s="1"/>
  <c r="F92" i="3"/>
  <c r="F101" i="3" s="1"/>
  <c r="F110" i="3" s="1"/>
  <c r="F119" i="3" s="1"/>
  <c r="F127" i="3" s="1"/>
  <c r="F135" i="3" s="1"/>
  <c r="F143" i="3" s="1"/>
  <c r="F84" i="3"/>
  <c r="F93" i="3" s="1"/>
  <c r="F102" i="3" s="1"/>
  <c r="F111" i="3" s="1"/>
  <c r="F120" i="3" s="1"/>
  <c r="F128" i="3" s="1"/>
  <c r="F136" i="3" s="1"/>
  <c r="F76" i="3"/>
  <c r="F85" i="3" s="1"/>
  <c r="F94" i="3" s="1"/>
  <c r="F103" i="3" s="1"/>
  <c r="F112" i="3" s="1"/>
  <c r="F121" i="3" s="1"/>
  <c r="F129" i="3" s="1"/>
  <c r="F137" i="3" s="1"/>
  <c r="F77" i="3"/>
  <c r="F86" i="3" s="1"/>
  <c r="F95" i="3" s="1"/>
  <c r="F104" i="3" s="1"/>
  <c r="F113" i="3" s="1"/>
  <c r="F122" i="3" s="1"/>
  <c r="F130" i="3" s="1"/>
  <c r="F138" i="3" s="1"/>
  <c r="F78" i="3"/>
  <c r="F87" i="3" s="1"/>
  <c r="F96" i="3" s="1"/>
  <c r="F105" i="3" s="1"/>
  <c r="F114" i="3" s="1"/>
  <c r="F123" i="3" s="1"/>
  <c r="F131" i="3" s="1"/>
  <c r="F139" i="3" s="1"/>
  <c r="F79" i="3"/>
  <c r="F88" i="3" s="1"/>
  <c r="F97" i="3" s="1"/>
  <c r="F106" i="3" s="1"/>
  <c r="F115" i="3" s="1"/>
  <c r="F80" i="3"/>
  <c r="F89" i="3" s="1"/>
  <c r="F98" i="3" s="1"/>
  <c r="F107" i="3" s="1"/>
  <c r="F116" i="3" s="1"/>
  <c r="F81" i="3"/>
  <c r="F90" i="3" s="1"/>
  <c r="F99" i="3" s="1"/>
  <c r="F108" i="3" s="1"/>
  <c r="F117" i="3" s="1"/>
  <c r="F125" i="3" s="1"/>
  <c r="F133" i="3" s="1"/>
  <c r="F141" i="3" s="1"/>
  <c r="F82" i="3"/>
  <c r="F91" i="3" s="1"/>
  <c r="F100" i="3" s="1"/>
  <c r="F109" i="3" s="1"/>
  <c r="F118" i="3" s="1"/>
  <c r="F126" i="3" s="1"/>
  <c r="F134" i="3" s="1"/>
  <c r="F142" i="3" s="1"/>
  <c r="F83" i="3"/>
  <c r="F75" i="3"/>
  <c r="F17" i="3"/>
  <c r="F25" i="3" s="1"/>
  <c r="F33" i="3" s="1"/>
  <c r="F16" i="3"/>
  <c r="F24" i="3" s="1"/>
  <c r="F32" i="3" s="1"/>
  <c r="F15" i="3"/>
  <c r="F23" i="3" s="1"/>
  <c r="F31" i="3" s="1"/>
  <c r="F14" i="3"/>
  <c r="F22" i="3" s="1"/>
  <c r="F30" i="3" s="1"/>
  <c r="F13" i="3"/>
  <c r="F21" i="3" s="1"/>
  <c r="F29" i="3" s="1"/>
  <c r="F12" i="3"/>
  <c r="F20" i="3" s="1"/>
  <c r="F28" i="3" s="1"/>
  <c r="F11" i="3"/>
  <c r="F19" i="3" s="1"/>
  <c r="F27" i="3" s="1"/>
  <c r="F50" i="3"/>
  <c r="F58" i="3" s="1"/>
  <c r="F49" i="3"/>
  <c r="F57" i="3" s="1"/>
  <c r="F65" i="3" s="1"/>
  <c r="F48" i="3"/>
  <c r="F56" i="3" s="1"/>
  <c r="F64" i="3" s="1"/>
  <c r="F44" i="3"/>
  <c r="F52" i="3" s="1"/>
  <c r="F60" i="3" s="1"/>
  <c r="F45" i="3"/>
  <c r="F53" i="3" s="1"/>
  <c r="F61" i="3" s="1"/>
  <c r="F46" i="3"/>
  <c r="F54" i="3" s="1"/>
  <c r="F62" i="3" s="1"/>
  <c r="F47" i="3"/>
  <c r="F55" i="3" s="1"/>
  <c r="F63" i="3" s="1"/>
  <c r="F43" i="3"/>
  <c r="F51" i="3" s="1"/>
  <c r="F59" i="3" s="1"/>
  <c r="F42" i="3"/>
  <c r="F10" i="3"/>
  <c r="F18" i="3" s="1"/>
  <c r="F26" i="3" s="1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D70" i="3"/>
  <c r="D74" i="3"/>
  <c r="D73" i="3"/>
  <c r="D72" i="3"/>
  <c r="D71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10" i="3"/>
  <c r="B11" i="3"/>
  <c r="B12" i="3"/>
  <c r="D3" i="3"/>
  <c r="D4" i="3"/>
  <c r="D5" i="3"/>
  <c r="D6" i="3"/>
  <c r="D7" i="3"/>
  <c r="D8" i="3"/>
  <c r="D9" i="3"/>
  <c r="B3" i="3"/>
  <c r="B4" i="3"/>
  <c r="B5" i="3"/>
  <c r="B6" i="3"/>
  <c r="B7" i="3"/>
  <c r="B8" i="3"/>
  <c r="B9" i="3"/>
  <c r="B2" i="3"/>
  <c r="D2" i="3"/>
</calcChain>
</file>

<file path=xl/sharedStrings.xml><?xml version="1.0" encoding="utf-8"?>
<sst xmlns="http://schemas.openxmlformats.org/spreadsheetml/2006/main" count="559" uniqueCount="153">
  <si>
    <t>id</t>
  </si>
  <si>
    <t>id</t>
    <phoneticPr fontId="1" type="noConversion"/>
  </si>
  <si>
    <t>action</t>
    <phoneticPr fontId="1" type="noConversion"/>
  </si>
  <si>
    <t>type</t>
    <phoneticPr fontId="1" type="noConversion"/>
  </si>
  <si>
    <t>Increase government spending</t>
  </si>
  <si>
    <t>fiscal_policy</t>
  </si>
  <si>
    <t>Decrease taxes</t>
  </si>
  <si>
    <t>Expansionary fiscal policy</t>
    <phoneticPr fontId="1" type="noConversion"/>
  </si>
  <si>
    <t>Increase taxes</t>
    <phoneticPr fontId="1" type="noConversion"/>
  </si>
  <si>
    <t>Decrease transfer payments</t>
    <phoneticPr fontId="1" type="noConversion"/>
  </si>
  <si>
    <t>Decrease government spending</t>
    <phoneticPr fontId="1" type="noConversion"/>
  </si>
  <si>
    <t>Decrease reserve requirement</t>
    <phoneticPr fontId="1" type="noConversion"/>
  </si>
  <si>
    <t>Contractionary fiscal policy</t>
    <phoneticPr fontId="1" type="noConversion"/>
  </si>
  <si>
    <t>Expansionary monetary policy</t>
    <phoneticPr fontId="1" type="noConversion"/>
  </si>
  <si>
    <t>monetary_policy</t>
    <phoneticPr fontId="1" type="noConversion"/>
  </si>
  <si>
    <t>Decrease discount rate</t>
    <phoneticPr fontId="1" type="noConversion"/>
  </si>
  <si>
    <t>Decrease interest on reserves</t>
    <phoneticPr fontId="1" type="noConversion"/>
  </si>
  <si>
    <t>Decrease administered interest rates</t>
    <phoneticPr fontId="1" type="noConversion"/>
  </si>
  <si>
    <t>Decrease required reserve ratio</t>
    <phoneticPr fontId="1" type="noConversion"/>
  </si>
  <si>
    <t>Buy Treasury bonds / bills</t>
    <phoneticPr fontId="1" type="noConversion"/>
  </si>
  <si>
    <t>Contractionary monetary policy</t>
    <phoneticPr fontId="1" type="noConversion"/>
  </si>
  <si>
    <t>Increase required reserve ratio</t>
    <phoneticPr fontId="1" type="noConversion"/>
  </si>
  <si>
    <t>Increase reserve requirement</t>
    <phoneticPr fontId="1" type="noConversion"/>
  </si>
  <si>
    <t>Sell Treasury bonds / bills</t>
    <phoneticPr fontId="1" type="noConversion"/>
  </si>
  <si>
    <t>Increase discount rate</t>
    <phoneticPr fontId="1" type="noConversion"/>
  </si>
  <si>
    <t>Increase interest on reserves</t>
    <phoneticPr fontId="1" type="noConversion"/>
  </si>
  <si>
    <t>Increase administered interest rates</t>
    <phoneticPr fontId="1" type="noConversion"/>
  </si>
  <si>
    <t>Buy government bonds / securities</t>
    <phoneticPr fontId="1" type="noConversion"/>
  </si>
  <si>
    <t>Sell government bonds / securities</t>
    <phoneticPr fontId="1" type="noConversion"/>
  </si>
  <si>
    <t>Open market purchase of bonds</t>
    <phoneticPr fontId="1" type="noConversion"/>
  </si>
  <si>
    <t>Open market sale of bonds</t>
    <phoneticPr fontId="1" type="noConversion"/>
  </si>
  <si>
    <t>Increase transfer payments (e.g. unemployment benefits)</t>
    <phoneticPr fontId="1" type="noConversion"/>
  </si>
  <si>
    <t>name</t>
  </si>
  <si>
    <t>category</t>
  </si>
  <si>
    <t>Aggregate Demand</t>
  </si>
  <si>
    <t>macro_indicator</t>
  </si>
  <si>
    <t>Real GDP</t>
  </si>
  <si>
    <t>Price Level</t>
  </si>
  <si>
    <t>Interest Rate</t>
  </si>
  <si>
    <t>financial_indicator</t>
  </si>
  <si>
    <t>expenditure</t>
  </si>
  <si>
    <t>Money Supply</t>
  </si>
  <si>
    <t>Unemployment Rate</t>
  </si>
  <si>
    <t>Interest-sensitive Private Spending (Investment &amp; Consumption)</t>
    <phoneticPr fontId="1" type="noConversion"/>
  </si>
  <si>
    <t>Economic Growth (LRAS, PPC)</t>
    <phoneticPr fontId="1" type="noConversion"/>
  </si>
  <si>
    <t>policyId</t>
  </si>
  <si>
    <t>variableId</t>
  </si>
  <si>
    <t>effect</t>
  </si>
  <si>
    <t>explanation</t>
  </si>
  <si>
    <t>increase</t>
  </si>
  <si>
    <t>decrease</t>
  </si>
  <si>
    <t>curves</t>
  </si>
  <si>
    <t>AD-AS Diagram</t>
  </si>
  <si>
    <t>Aggregate Demand,Short-run Aggregate Supply,Long-run Aggregate Supply</t>
  </si>
  <si>
    <t>Money Market Diagram</t>
  </si>
  <si>
    <t>Money Supply,Money Demand</t>
  </si>
  <si>
    <t>Loanable Funds Market</t>
  </si>
  <si>
    <t>Supply of Loanable Funds,Demand for Loanable Funds</t>
  </si>
  <si>
    <t>Foreign Exchange Market</t>
  </si>
  <si>
    <t>Supply of Dollars,Demand for Dollars</t>
  </si>
  <si>
    <t>Phillips Curve</t>
  </si>
  <si>
    <t>Short-run Phillips Curve,Long-run Phillips Curve</t>
  </si>
  <si>
    <t>event</t>
  </si>
  <si>
    <t>affectedDiagram</t>
  </si>
  <si>
    <t>affectedCurve</t>
  </si>
  <si>
    <t>Household savings increase</t>
  </si>
  <si>
    <t>Supply of Loanable Funds</t>
  </si>
  <si>
    <t>Technology improvement</t>
  </si>
  <si>
    <t>Long-run Aggregate Supply</t>
  </si>
  <si>
    <t>Consumer confidence decreases</t>
  </si>
  <si>
    <t>Bond Price</t>
    <phoneticPr fontId="1" type="noConversion"/>
  </si>
  <si>
    <t>Contractionary fiscal policy减少AD，政府支出直接影响AD，税和转移支付影响disposable income，间接影响private spending和AD。</t>
    <phoneticPr fontId="1" type="noConversion"/>
  </si>
  <si>
    <t>Expansionary monetary policy中buy bonds可增加monetary base，降reserve requirement可提高money multiplier和money supply</t>
    <phoneticPr fontId="1" type="noConversion"/>
  </si>
  <si>
    <t>Expansionary monetary policy增加money supply，降利率（见money market diagram &amp; reserve market diagram)</t>
    <phoneticPr fontId="1" type="noConversion"/>
  </si>
  <si>
    <t>decrease</t>
    <phoneticPr fontId="1" type="noConversion"/>
  </si>
  <si>
    <t>increase</t>
    <phoneticPr fontId="1" type="noConversion"/>
  </si>
  <si>
    <t>Contractionary monetary policy中sell bonds可减少monetary base，提高reserve requirement可降低money multiplier和money supply</t>
    <phoneticPr fontId="1" type="noConversion"/>
  </si>
  <si>
    <t>An increase in exports</t>
  </si>
  <si>
    <t>Increased spending by businesses on computers</t>
    <phoneticPr fontId="1" type="noConversion"/>
  </si>
  <si>
    <t>Short-run Aggregate Supply</t>
    <phoneticPr fontId="1" type="noConversion"/>
  </si>
  <si>
    <t>The government increases regulations on businesses.</t>
    <phoneticPr fontId="1" type="noConversion"/>
  </si>
  <si>
    <t>A decrease in household income</t>
  </si>
  <si>
    <t>Consumers have large unpaid balances on their credit cards.</t>
  </si>
  <si>
    <t>Consumers’ wealth is increased by changes in the stock market</t>
  </si>
  <si>
    <t>Population</t>
  </si>
  <si>
    <t>An increase in military spending</t>
  </si>
  <si>
    <t>A major trading partner experiences a recession</t>
    <phoneticPr fontId="1" type="noConversion"/>
  </si>
  <si>
    <t>The price of oil increases</t>
    <phoneticPr fontId="1" type="noConversion"/>
  </si>
  <si>
    <t>The cost of productive resources increases</t>
    <phoneticPr fontId="1" type="noConversion"/>
  </si>
  <si>
    <t>An increase in productivity</t>
    <phoneticPr fontId="1" type="noConversion"/>
  </si>
  <si>
    <t>The optimism of business firms</t>
  </si>
  <si>
    <t>A decrease in nominal wages</t>
  </si>
  <si>
    <t>An increase in the size of the labor force</t>
  </si>
  <si>
    <t>A increase in the expected rate of inflation</t>
    <phoneticPr fontId="1" type="noConversion"/>
  </si>
  <si>
    <t>A decrease in the costs of production</t>
  </si>
  <si>
    <t>The discovery of low-cost alternative sources of energy</t>
  </si>
  <si>
    <t>Depreciation of this country's currency on the foreign exchange market</t>
    <phoneticPr fontId="1" type="noConversion"/>
  </si>
  <si>
    <t>The passage of legislation mandating a reduction in automobile pollution</t>
    <phoneticPr fontId="1" type="noConversion"/>
  </si>
  <si>
    <t>An increase in Labor-force participation rate</t>
    <phoneticPr fontId="1" type="noConversion"/>
  </si>
  <si>
    <t>A decrease in the wage rate</t>
    <phoneticPr fontId="1" type="noConversion"/>
  </si>
  <si>
    <t>An increase in real income</t>
  </si>
  <si>
    <t>Money Demand</t>
    <phoneticPr fontId="1" type="noConversion"/>
  </si>
  <si>
    <t>A decrease in the price level</t>
  </si>
  <si>
    <t>Inflation increases</t>
    <phoneticPr fontId="1" type="noConversion"/>
  </si>
  <si>
    <t>The stock of physical capital increases</t>
    <phoneticPr fontId="1" type="noConversion"/>
  </si>
  <si>
    <t>The prices of imported raw materials increase</t>
    <phoneticPr fontId="1" type="noConversion"/>
  </si>
  <si>
    <t>Unions have negotiated a wage increase for their members</t>
    <phoneticPr fontId="1" type="noConversion"/>
  </si>
  <si>
    <t>The nominal gross domestic product increases</t>
    <phoneticPr fontId="1" type="noConversion"/>
  </si>
  <si>
    <t>The real gross domestic product decreases</t>
    <phoneticPr fontId="1" type="noConversion"/>
  </si>
  <si>
    <t>Firms are optimistic about the future performance of the country’s economy.</t>
  </si>
  <si>
    <t>Domestic investors seek higher returns by investing in foreign financial assets.</t>
  </si>
  <si>
    <t>An increase in the government’s budget surplus</t>
    <phoneticPr fontId="1" type="noConversion"/>
  </si>
  <si>
    <t>The economy is facing political instability.</t>
  </si>
  <si>
    <t>A decrease in investment spending</t>
    <phoneticPr fontId="1" type="noConversion"/>
  </si>
  <si>
    <t>Demand for Loanable Funds</t>
    <phoneticPr fontId="1" type="noConversion"/>
  </si>
  <si>
    <t>A decrease in the corporate income tax rate</t>
    <phoneticPr fontId="1" type="noConversion"/>
  </si>
  <si>
    <t>An increase in the productivity of new capital goods</t>
    <phoneticPr fontId="1" type="noConversion"/>
  </si>
  <si>
    <t>An increase in corporate profits</t>
    <phoneticPr fontId="1" type="noConversion"/>
  </si>
  <si>
    <t>An increase in investment demand</t>
  </si>
  <si>
    <t>An increase in government spending financed by borrowing</t>
  </si>
  <si>
    <t>The nation provides an investment tax credit to new businesses.</t>
  </si>
  <si>
    <t>The citizens of the nation increase their savings for retirement.</t>
  </si>
  <si>
    <t>A decrease in financial capital inflows</t>
  </si>
  <si>
    <t>Investors feel that business conditions will deteriorate in the future</t>
    <phoneticPr fontId="1" type="noConversion"/>
  </si>
  <si>
    <t>Contractionary fiscal policy减少AD，见AD-AS diagram</t>
    <phoneticPr fontId="1" type="noConversion"/>
  </si>
  <si>
    <t>失业率通常与real GDP反向。（Contractionary fiscal policy减少AD，见AD-AS diagram）</t>
    <phoneticPr fontId="1" type="noConversion"/>
  </si>
  <si>
    <t>Expansionary fiscal policy刺激经济，增加AD。政府支出直接影响AD，税和转移支付影响disposable income，间接影响private spending和AD。（但如有deficit，政府借债可能会crowd out部分private spending）</t>
    <phoneticPr fontId="1" type="noConversion"/>
  </si>
  <si>
    <t>Expansionary fiscal policy刺激经济，增加AD，见AD-AS diagram</t>
    <phoneticPr fontId="1" type="noConversion"/>
  </si>
  <si>
    <t>失业率通常与real GDP反向。（Expansionary fiscal policy刺激经济，增加AD，见AD-AS diagram）</t>
    <phoneticPr fontId="1" type="noConversion"/>
  </si>
  <si>
    <t>Expansionary fiscal policy使public savings=tax-(government spending+transfers)降低，减少Supply of Loans（或增加deficit spending进而增加Demand for Loans)，因而利率上升。见loanable funds market diagram</t>
    <phoneticPr fontId="1" type="noConversion"/>
  </si>
  <si>
    <t>Contractionary fiscal policy使public savings=tax-(government spending+transfers)增加，增加Supply of Loans（或减少deficit spending进而减少Demand for Loans)，因而利率下降。见loanable funds market diagram</t>
    <phoneticPr fontId="1" type="noConversion"/>
  </si>
  <si>
    <t>债券价格与利率反向。（Expansionary fiscal policy使public savings=tax-(government spending+transfers)降低，减少Supply of Loans（或增加deficit spending进而增加Demand for Loans)，因而利率上升。见loanable funds market diagram）</t>
    <phoneticPr fontId="1" type="noConversion"/>
  </si>
  <si>
    <t>Interest-sensitive Private Spending (Investment &amp; Consumption)与利率反向。（Expansionary fiscal policy使public savings=tax-(government spending+transfers)降低，减少Supply of Loans（或增加deficit spending进而增加Demand for Loans)，因而利率上升。见loanable funds market diagram）</t>
    <phoneticPr fontId="1" type="noConversion"/>
  </si>
  <si>
    <t>Investment与利率反向，长期会影响capital stock资本存量（属于资源数量）和潜在产能。（Expansionary fiscal policy使public savings=tax-(government spending+transfers)降低，减少Supply of Loans（或增加deficit spending进而增加Demand for Loans)，因而利率上升。见loanable funds market diagram）</t>
    <phoneticPr fontId="1" type="noConversion"/>
  </si>
  <si>
    <t>债券价格与利率反向。（Contractionary fiscal policy使public savings=tax-(government spending+transfers)增加，增加Supply of Loans（或减少deficit spending进而减少Demand for Loans)，因而利率下降。见loanable funds market diagram）</t>
    <phoneticPr fontId="1" type="noConversion"/>
  </si>
  <si>
    <t>Interest-sensitive Private Spending (Investment &amp; Consumption)与利率反向。（Contractionary fiscal policy使public savings=tax-(government spending+transfers)增加，增加Supply of Loans（或减少deficit spending进而减少Demand for Loans)，因而利率下降。见loanable funds market diagram）</t>
    <phoneticPr fontId="1" type="noConversion"/>
  </si>
  <si>
    <t>Investment与利率反向，长期会影响capital stock资本存量（属于资源数量）和潜在产能。（Contractionary fiscal policy使public savings=tax-(government spending+transfers)增加，增加Supply of Loans（或减少deficit spending进而减少Demand for Loans)，因而利率下降。见loanable funds market diagram）</t>
    <phoneticPr fontId="1" type="noConversion"/>
  </si>
  <si>
    <t>Expansionary monetary policy刺激经济，通过降利率，增加interest-sensitive private spending和AD</t>
    <phoneticPr fontId="1" type="noConversion"/>
  </si>
  <si>
    <t>Expansionary monetary policy刺激经济，降利率，增加AD，见AD-AS diagram</t>
    <phoneticPr fontId="1" type="noConversion"/>
  </si>
  <si>
    <t>失业率通常与real GDP反向。（Expansionary monetary policy刺激经济，降利率，增加AD，见AD-AS diagram）</t>
    <phoneticPr fontId="1" type="noConversion"/>
  </si>
  <si>
    <t>债券价格与利率反向。（Expansionary monetary policy刺激经济，降利率，增加AD）</t>
    <phoneticPr fontId="1" type="noConversion"/>
  </si>
  <si>
    <t>Interest-sensitive Private Spending (Investment &amp; Consumption)与利率反向。（Expansionary monetary policy刺激经济，降利率，增加AD）</t>
    <phoneticPr fontId="1" type="noConversion"/>
  </si>
  <si>
    <t>Investment与利率反向，长期会影响capital stock资本存量（属于资源数量）和潜在产能。（Expansionary monetary policy刺激经济，降利率，增加AD）</t>
    <phoneticPr fontId="1" type="noConversion"/>
  </si>
  <si>
    <t>Expansionary monetary policy降利率。Discount rate（federal funds rate上限）和IOR（federal funds rate下限）属于administered interest rate，央行可直接设定，用于调控市场利率的基准federal funds rate（见reserve market diagram)。 这三者都属于policy rate。</t>
    <phoneticPr fontId="1" type="noConversion"/>
  </si>
  <si>
    <t>Contractionary monetary policy抑制经济，通过升利率，减少interest-sensitive private spending和AD</t>
    <phoneticPr fontId="1" type="noConversion"/>
  </si>
  <si>
    <t>Contractionary monetary policy抑制经济，升利率，减少AD，见AD-AS diagram</t>
    <phoneticPr fontId="1" type="noConversion"/>
  </si>
  <si>
    <t>失业率通常与real GDP反向。（Contractionary monetary policy抑制经济，升利率，减少AD，见AD-AS diagram）</t>
    <phoneticPr fontId="1" type="noConversion"/>
  </si>
  <si>
    <t>Contractionary monetary policy减少money supply，提高利率（见money market diagram &amp; reserve market diagram)</t>
    <phoneticPr fontId="1" type="noConversion"/>
  </si>
  <si>
    <t>债券价格与利率反向。（Contractionary monetary policy抑制经济，升利率，减少AD）</t>
    <phoneticPr fontId="1" type="noConversion"/>
  </si>
  <si>
    <t>Interest-sensitive Private Spending (Investment &amp; Consumption)与利率反向。（Contractionary monetary policy抑制经济，升利率，减少AD）</t>
    <phoneticPr fontId="1" type="noConversion"/>
  </si>
  <si>
    <t>Investment与利率反向，长期会影响capital stock资本存量（属于资源数量）和潜在产能。（Contractionary monetary policy抑制经济，升利率，减少AD）</t>
    <phoneticPr fontId="1" type="noConversion"/>
  </si>
  <si>
    <t>Contractionary monetary policy升利率。Discount rate（federal funds rate上限）和IOR（federal funds rate下限）属于administered interest rate，央行可直接设定，用于调控市场利率的基准federal funds rate（见reserve market diagram)。 这三者都属于policy rate。</t>
    <phoneticPr fontId="1" type="noConversion"/>
  </si>
  <si>
    <t>Expansionary fiscal policy (或increase government spending)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</si>
</sst>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rgb="FFC0000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3" fillId="4" borderId="0" xfId="0" applyFont="1" applyFill="1" applyAlignment="1"/>
    <xf numFmtId="0" fontId="3" fillId="5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F9E1-05EB-4045-B606-E725BA3D9E0C}">
  <dimension ref="A1:C27"/>
  <sheetViews>
    <sheetView workbookViewId="0">
      <selection activeCell="A6" sqref="A6"/>
    </sheetView>
  </sheetViews>
  <sheetFormatPr defaultRowHeight="14.15" x14ac:dyDescent="0.35"/>
  <cols>
    <col min="2" max="2" width="57.2109375" bestFit="1" customWidth="1"/>
    <col min="3" max="3" width="14.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>
        <v>1</v>
      </c>
      <c r="B2" t="s">
        <v>7</v>
      </c>
      <c r="C2" t="s">
        <v>5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31</v>
      </c>
      <c r="C4" t="s">
        <v>5</v>
      </c>
    </row>
    <row r="5" spans="1:3" x14ac:dyDescent="0.35">
      <c r="A5">
        <v>4</v>
      </c>
      <c r="B5" t="s">
        <v>6</v>
      </c>
      <c r="C5" t="s">
        <v>5</v>
      </c>
    </row>
    <row r="6" spans="1:3" x14ac:dyDescent="0.35">
      <c r="A6">
        <v>5</v>
      </c>
      <c r="B6" t="s">
        <v>12</v>
      </c>
      <c r="C6" t="s">
        <v>5</v>
      </c>
    </row>
    <row r="7" spans="1:3" x14ac:dyDescent="0.35">
      <c r="A7">
        <v>6</v>
      </c>
      <c r="B7" t="s">
        <v>10</v>
      </c>
      <c r="C7" t="s">
        <v>5</v>
      </c>
    </row>
    <row r="8" spans="1:3" x14ac:dyDescent="0.35">
      <c r="A8">
        <v>7</v>
      </c>
      <c r="B8" t="s">
        <v>9</v>
      </c>
      <c r="C8" t="s">
        <v>5</v>
      </c>
    </row>
    <row r="9" spans="1:3" x14ac:dyDescent="0.35">
      <c r="A9">
        <v>8</v>
      </c>
      <c r="B9" t="s">
        <v>8</v>
      </c>
      <c r="C9" t="s">
        <v>5</v>
      </c>
    </row>
    <row r="10" spans="1:3" x14ac:dyDescent="0.35">
      <c r="A10">
        <v>9</v>
      </c>
      <c r="B10" t="s">
        <v>13</v>
      </c>
      <c r="C10" t="s">
        <v>14</v>
      </c>
    </row>
    <row r="11" spans="1:3" x14ac:dyDescent="0.35">
      <c r="A11">
        <v>10</v>
      </c>
      <c r="B11" t="s">
        <v>18</v>
      </c>
      <c r="C11" t="s">
        <v>14</v>
      </c>
    </row>
    <row r="12" spans="1:3" x14ac:dyDescent="0.35">
      <c r="A12">
        <v>11</v>
      </c>
      <c r="B12" t="s">
        <v>11</v>
      </c>
      <c r="C12" t="s">
        <v>14</v>
      </c>
    </row>
    <row r="13" spans="1:3" x14ac:dyDescent="0.35">
      <c r="A13">
        <v>12</v>
      </c>
      <c r="B13" t="s">
        <v>27</v>
      </c>
      <c r="C13" t="s">
        <v>14</v>
      </c>
    </row>
    <row r="14" spans="1:3" x14ac:dyDescent="0.35">
      <c r="A14">
        <v>13</v>
      </c>
      <c r="B14" t="s">
        <v>19</v>
      </c>
      <c r="C14" t="s">
        <v>14</v>
      </c>
    </row>
    <row r="15" spans="1:3" x14ac:dyDescent="0.35">
      <c r="A15">
        <v>14</v>
      </c>
      <c r="B15" t="s">
        <v>29</v>
      </c>
      <c r="C15" t="s">
        <v>14</v>
      </c>
    </row>
    <row r="16" spans="1:3" x14ac:dyDescent="0.35">
      <c r="A16">
        <v>15</v>
      </c>
      <c r="B16" t="s">
        <v>15</v>
      </c>
      <c r="C16" t="s">
        <v>14</v>
      </c>
    </row>
    <row r="17" spans="1:3" x14ac:dyDescent="0.35">
      <c r="A17">
        <v>16</v>
      </c>
      <c r="B17" t="s">
        <v>16</v>
      </c>
      <c r="C17" t="s">
        <v>14</v>
      </c>
    </row>
    <row r="18" spans="1:3" x14ac:dyDescent="0.35">
      <c r="A18">
        <v>17</v>
      </c>
      <c r="B18" t="s">
        <v>17</v>
      </c>
      <c r="C18" t="s">
        <v>14</v>
      </c>
    </row>
    <row r="19" spans="1:3" x14ac:dyDescent="0.35">
      <c r="A19">
        <v>18</v>
      </c>
      <c r="B19" t="s">
        <v>20</v>
      </c>
      <c r="C19" t="s">
        <v>14</v>
      </c>
    </row>
    <row r="20" spans="1:3" x14ac:dyDescent="0.35">
      <c r="A20">
        <v>19</v>
      </c>
      <c r="B20" t="s">
        <v>21</v>
      </c>
      <c r="C20" t="s">
        <v>14</v>
      </c>
    </row>
    <row r="21" spans="1:3" x14ac:dyDescent="0.35">
      <c r="A21">
        <v>20</v>
      </c>
      <c r="B21" t="s">
        <v>22</v>
      </c>
      <c r="C21" t="s">
        <v>14</v>
      </c>
    </row>
    <row r="22" spans="1:3" x14ac:dyDescent="0.35">
      <c r="A22">
        <v>21</v>
      </c>
      <c r="B22" t="s">
        <v>28</v>
      </c>
      <c r="C22" t="s">
        <v>14</v>
      </c>
    </row>
    <row r="23" spans="1:3" x14ac:dyDescent="0.35">
      <c r="A23">
        <v>22</v>
      </c>
      <c r="B23" t="s">
        <v>23</v>
      </c>
      <c r="C23" t="s">
        <v>14</v>
      </c>
    </row>
    <row r="24" spans="1:3" x14ac:dyDescent="0.35">
      <c r="A24">
        <v>23</v>
      </c>
      <c r="B24" t="s">
        <v>30</v>
      </c>
      <c r="C24" t="s">
        <v>14</v>
      </c>
    </row>
    <row r="25" spans="1:3" x14ac:dyDescent="0.35">
      <c r="A25">
        <v>24</v>
      </c>
      <c r="B25" t="s">
        <v>24</v>
      </c>
      <c r="C25" t="s">
        <v>14</v>
      </c>
    </row>
    <row r="26" spans="1:3" x14ac:dyDescent="0.35">
      <c r="A26">
        <v>25</v>
      </c>
      <c r="B26" t="s">
        <v>25</v>
      </c>
      <c r="C26" t="s">
        <v>14</v>
      </c>
    </row>
    <row r="27" spans="1:3" x14ac:dyDescent="0.35">
      <c r="A27">
        <v>26</v>
      </c>
      <c r="B27" t="s">
        <v>26</v>
      </c>
      <c r="C27" t="s">
        <v>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7881-0BC9-4835-B8B8-8E0D8F66C752}">
  <dimension ref="A1:C11"/>
  <sheetViews>
    <sheetView workbookViewId="0">
      <selection activeCell="B21" sqref="B21"/>
    </sheetView>
  </sheetViews>
  <sheetFormatPr defaultRowHeight="14.15" x14ac:dyDescent="0.35"/>
  <cols>
    <col min="2" max="2" width="54.5" bestFit="1" customWidth="1"/>
    <col min="3" max="3" width="15.85546875" bestFit="1" customWidth="1"/>
  </cols>
  <sheetData>
    <row r="1" spans="1:3" x14ac:dyDescent="0.35">
      <c r="A1" s="1" t="s">
        <v>0</v>
      </c>
      <c r="B1" s="1" t="s">
        <v>32</v>
      </c>
      <c r="C1" s="1" t="s">
        <v>33</v>
      </c>
    </row>
    <row r="2" spans="1:3" x14ac:dyDescent="0.35">
      <c r="A2" s="2">
        <v>1</v>
      </c>
      <c r="B2" s="2" t="s">
        <v>34</v>
      </c>
      <c r="C2" s="2" t="s">
        <v>35</v>
      </c>
    </row>
    <row r="3" spans="1:3" x14ac:dyDescent="0.35">
      <c r="A3" s="2">
        <v>2</v>
      </c>
      <c r="B3" s="2" t="s">
        <v>37</v>
      </c>
      <c r="C3" s="2" t="s">
        <v>35</v>
      </c>
    </row>
    <row r="4" spans="1:3" x14ac:dyDescent="0.35">
      <c r="A4" s="2">
        <v>3</v>
      </c>
      <c r="B4" s="2" t="s">
        <v>36</v>
      </c>
      <c r="C4" s="2" t="s">
        <v>35</v>
      </c>
    </row>
    <row r="5" spans="1:3" x14ac:dyDescent="0.35">
      <c r="A5" s="2">
        <v>4</v>
      </c>
      <c r="B5" s="2" t="s">
        <v>42</v>
      </c>
      <c r="C5" s="2" t="s">
        <v>35</v>
      </c>
    </row>
    <row r="6" spans="1:3" x14ac:dyDescent="0.35">
      <c r="A6" s="2">
        <v>5</v>
      </c>
      <c r="B6" s="2" t="s">
        <v>41</v>
      </c>
      <c r="C6" s="2" t="s">
        <v>39</v>
      </c>
    </row>
    <row r="7" spans="1:3" x14ac:dyDescent="0.35">
      <c r="A7" s="2">
        <v>6</v>
      </c>
      <c r="B7" s="2" t="s">
        <v>38</v>
      </c>
      <c r="C7" s="2" t="s">
        <v>39</v>
      </c>
    </row>
    <row r="8" spans="1:3" x14ac:dyDescent="0.35">
      <c r="A8" s="2">
        <v>7</v>
      </c>
      <c r="B8" s="2" t="s">
        <v>70</v>
      </c>
      <c r="C8" s="2" t="s">
        <v>39</v>
      </c>
    </row>
    <row r="9" spans="1:3" x14ac:dyDescent="0.35">
      <c r="A9" s="2">
        <v>8</v>
      </c>
      <c r="B9" s="2" t="s">
        <v>43</v>
      </c>
      <c r="C9" s="2" t="s">
        <v>40</v>
      </c>
    </row>
    <row r="10" spans="1:3" x14ac:dyDescent="0.35">
      <c r="A10" s="2">
        <v>9</v>
      </c>
      <c r="B10" s="2" t="s">
        <v>44</v>
      </c>
      <c r="C10" s="2" t="s">
        <v>35</v>
      </c>
    </row>
    <row r="11" spans="1:3" x14ac:dyDescent="0.35">
      <c r="A11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ED18-D644-4C40-A66D-2C5966F0C53B}">
  <dimension ref="A1:L221"/>
  <sheetViews>
    <sheetView zoomScaleNormal="100" workbookViewId="0">
      <selection activeCell="I207" sqref="I207"/>
    </sheetView>
  </sheetViews>
  <sheetFormatPr defaultRowHeight="14.15" x14ac:dyDescent="0.35"/>
  <cols>
    <col min="1" max="1" width="9.140625" style="2"/>
    <col min="2" max="2" width="22" style="2" bestFit="1" customWidth="1"/>
    <col min="3" max="3" width="11.28515625" style="2" bestFit="1" customWidth="1"/>
    <col min="4" max="4" width="25.140625" style="2" customWidth="1"/>
    <col min="5" max="5" width="9.140625" style="2"/>
    <col min="6" max="6" width="38.28515625" style="2" bestFit="1" customWidth="1"/>
  </cols>
  <sheetData>
    <row r="1" spans="1:12" x14ac:dyDescent="0.35">
      <c r="A1" s="1" t="s">
        <v>45</v>
      </c>
      <c r="B1" s="1"/>
      <c r="C1" s="1" t="s">
        <v>46</v>
      </c>
      <c r="D1" s="1"/>
      <c r="E1" s="1" t="s">
        <v>47</v>
      </c>
      <c r="F1" s="1" t="s">
        <v>48</v>
      </c>
    </row>
    <row r="2" spans="1:12" x14ac:dyDescent="0.35">
      <c r="A2" s="3">
        <v>1</v>
      </c>
      <c r="B2" s="3" t="str">
        <f>VLOOKUP(A2,PolicyActions!A:B,2,FALSE)</f>
        <v>Expansionary fiscal policy</v>
      </c>
      <c r="C2" s="3">
        <v>1</v>
      </c>
      <c r="D2" s="3" t="str">
        <f>VLOOKUP(C2,EconomicVariables!A:B,2,FALSE)</f>
        <v>Aggregate Demand</v>
      </c>
      <c r="E2" s="3" t="s">
        <v>49</v>
      </c>
      <c r="F2" s="3" t="s">
        <v>126</v>
      </c>
      <c r="K2" s="2"/>
      <c r="L2" s="2"/>
    </row>
    <row r="3" spans="1:12" x14ac:dyDescent="0.35">
      <c r="A3" s="3">
        <v>1</v>
      </c>
      <c r="B3" s="3" t="str">
        <f>VLOOKUP(A3,PolicyActions!A:B,2,FALSE)</f>
        <v>Expansionary fiscal policy</v>
      </c>
      <c r="C3" s="3">
        <v>2</v>
      </c>
      <c r="D3" s="3" t="str">
        <f>VLOOKUP(C3,EconomicVariables!A:B,2,FALSE)</f>
        <v>Price Level</v>
      </c>
      <c r="E3" s="3" t="s">
        <v>49</v>
      </c>
      <c r="F3" s="3" t="s">
        <v>127</v>
      </c>
      <c r="K3" s="2"/>
      <c r="L3" s="2"/>
    </row>
    <row r="4" spans="1:12" x14ac:dyDescent="0.35">
      <c r="A4" s="3">
        <v>1</v>
      </c>
      <c r="B4" s="3" t="str">
        <f>VLOOKUP(A4,PolicyActions!A:B,2,FALSE)</f>
        <v>Expansionary fiscal policy</v>
      </c>
      <c r="C4" s="3">
        <v>3</v>
      </c>
      <c r="D4" s="3" t="str">
        <f>VLOOKUP(C4,EconomicVariables!A:B,2,FALSE)</f>
        <v>Real GDP</v>
      </c>
      <c r="E4" s="3" t="s">
        <v>49</v>
      </c>
      <c r="F4" s="3" t="s">
        <v>127</v>
      </c>
      <c r="L4" s="2"/>
    </row>
    <row r="5" spans="1:12" x14ac:dyDescent="0.35">
      <c r="A5" s="3">
        <v>1</v>
      </c>
      <c r="B5" s="3" t="str">
        <f>VLOOKUP(A5,PolicyActions!A:B,2,FALSE)</f>
        <v>Expansionary fiscal policy</v>
      </c>
      <c r="C5" s="3">
        <v>4</v>
      </c>
      <c r="D5" s="3" t="str">
        <f>VLOOKUP(C5,EconomicVariables!A:B,2,FALSE)</f>
        <v>Unemployment Rate</v>
      </c>
      <c r="E5" s="3" t="s">
        <v>50</v>
      </c>
      <c r="F5" s="3" t="s">
        <v>128</v>
      </c>
      <c r="L5" s="2"/>
    </row>
    <row r="6" spans="1:12" x14ac:dyDescent="0.35">
      <c r="A6" s="3">
        <v>1</v>
      </c>
      <c r="B6" s="3" t="str">
        <f>VLOOKUP(A6,PolicyActions!A:B,2,FALSE)</f>
        <v>Expansionary fiscal policy</v>
      </c>
      <c r="C6" s="3">
        <v>6</v>
      </c>
      <c r="D6" s="3" t="str">
        <f>VLOOKUP(C6,EconomicVariables!A:B,2,FALSE)</f>
        <v>Interest Rate</v>
      </c>
      <c r="E6" s="3" t="s">
        <v>49</v>
      </c>
      <c r="F6" s="3" t="s">
        <v>129</v>
      </c>
      <c r="L6" s="2"/>
    </row>
    <row r="7" spans="1:12" x14ac:dyDescent="0.35">
      <c r="A7" s="3">
        <v>1</v>
      </c>
      <c r="B7" s="3" t="str">
        <f>VLOOKUP(A7,PolicyActions!A:B,2,FALSE)</f>
        <v>Expansionary fiscal policy</v>
      </c>
      <c r="C7" s="3">
        <v>7</v>
      </c>
      <c r="D7" s="3" t="str">
        <f>VLOOKUP(C7,EconomicVariables!A:B,2,FALSE)</f>
        <v>Bond Price</v>
      </c>
      <c r="E7" s="3" t="s">
        <v>50</v>
      </c>
      <c r="F7" s="3" t="s">
        <v>131</v>
      </c>
      <c r="L7" s="2"/>
    </row>
    <row r="8" spans="1:12" x14ac:dyDescent="0.35">
      <c r="A8" s="3">
        <v>1</v>
      </c>
      <c r="B8" s="3" t="str">
        <f>VLOOKUP(A8,PolicyActions!A:B,2,FALSE)</f>
        <v>Expansionary fiscal policy</v>
      </c>
      <c r="C8" s="3">
        <v>8</v>
      </c>
      <c r="D8" s="3" t="str">
        <f>VLOOKUP(C8,EconomicVariables!A:B,2,FALSE)</f>
        <v>Interest-sensitive Private Spending (Investment &amp; Consumption)</v>
      </c>
      <c r="E8" s="3" t="s">
        <v>50</v>
      </c>
      <c r="F8" s="3" t="s">
        <v>132</v>
      </c>
      <c r="L8" s="2"/>
    </row>
    <row r="9" spans="1:12" x14ac:dyDescent="0.35">
      <c r="A9" s="3">
        <v>1</v>
      </c>
      <c r="B9" s="3" t="str">
        <f>VLOOKUP(A9,PolicyActions!A:B,2,FALSE)</f>
        <v>Expansionary fiscal policy</v>
      </c>
      <c r="C9" s="3">
        <v>9</v>
      </c>
      <c r="D9" s="3" t="str">
        <f>VLOOKUP(C9,EconomicVariables!A:B,2,FALSE)</f>
        <v>Economic Growth (LRAS, PPC)</v>
      </c>
      <c r="E9" s="3" t="s">
        <v>50</v>
      </c>
      <c r="F9" s="3" t="s">
        <v>133</v>
      </c>
    </row>
    <row r="10" spans="1:12" x14ac:dyDescent="0.35">
      <c r="A10" s="4">
        <v>2</v>
      </c>
      <c r="B10" s="3" t="str">
        <f>VLOOKUP(A10,PolicyActions!A:B,2,FALSE)</f>
        <v>Increase government spending</v>
      </c>
      <c r="C10" s="3">
        <v>1</v>
      </c>
      <c r="D10" s="3" t="str">
        <f>VLOOKUP(C10,EconomicVariables!A:B,2,FALSE)</f>
        <v>Aggregate Demand</v>
      </c>
      <c r="E10" s="3" t="s">
        <v>49</v>
      </c>
      <c r="F10" s="3" t="str">
        <f>F2</f>
        <v>Expansionary fiscal policy刺激经济，增加AD。政府支出直接影响AD，税和转移支付影响disposable income，间接影响private spending和AD。（但如有deficit，政府借债可能会crowd out部分private spending）</v>
      </c>
    </row>
    <row r="11" spans="1:12" x14ac:dyDescent="0.35">
      <c r="A11" s="4">
        <v>2</v>
      </c>
      <c r="B11" s="3" t="str">
        <f>VLOOKUP(A11,PolicyActions!A:B,2,FALSE)</f>
        <v>Increase government spending</v>
      </c>
      <c r="C11" s="3">
        <v>2</v>
      </c>
      <c r="D11" s="3" t="str">
        <f>VLOOKUP(C11,EconomicVariables!A:B,2,FALSE)</f>
        <v>Price Level</v>
      </c>
      <c r="E11" s="3" t="s">
        <v>49</v>
      </c>
      <c r="F11" s="3" t="str">
        <f t="shared" ref="F11:F33" si="0">F3</f>
        <v>Expansionary fiscal policy刺激经济，增加AD，见AD-AS diagram</v>
      </c>
    </row>
    <row r="12" spans="1:12" x14ac:dyDescent="0.35">
      <c r="A12" s="4">
        <v>2</v>
      </c>
      <c r="B12" s="3" t="str">
        <f>VLOOKUP(A12,PolicyActions!A:B,2,FALSE)</f>
        <v>Increase government spending</v>
      </c>
      <c r="C12" s="3">
        <v>3</v>
      </c>
      <c r="D12" s="3" t="str">
        <f>VLOOKUP(C12,EconomicVariables!A:B,2,FALSE)</f>
        <v>Real GDP</v>
      </c>
      <c r="E12" s="3" t="s">
        <v>49</v>
      </c>
      <c r="F12" s="3" t="str">
        <f t="shared" si="0"/>
        <v>Expansionary fiscal policy刺激经济，增加AD，见AD-AS diagram</v>
      </c>
    </row>
    <row r="13" spans="1:12" x14ac:dyDescent="0.35">
      <c r="A13" s="4">
        <v>2</v>
      </c>
      <c r="B13" s="3" t="str">
        <f>VLOOKUP(A13,PolicyActions!A:B,2,FALSE)</f>
        <v>Increase government spending</v>
      </c>
      <c r="C13" s="3">
        <v>4</v>
      </c>
      <c r="D13" s="3" t="str">
        <f>VLOOKUP(C13,EconomicVariables!A:B,2,FALSE)</f>
        <v>Unemployment Rate</v>
      </c>
      <c r="E13" s="3" t="s">
        <v>50</v>
      </c>
      <c r="F13" s="3" t="str">
        <f t="shared" si="0"/>
        <v>失业率通常与real GDP反向。（Expansionary fiscal policy刺激经济，增加AD，见AD-AS diagram）</v>
      </c>
    </row>
    <row r="14" spans="1:12" x14ac:dyDescent="0.35">
      <c r="A14" s="4">
        <v>2</v>
      </c>
      <c r="B14" s="3" t="str">
        <f>VLOOKUP(A14,PolicyActions!A:B,2,FALSE)</f>
        <v>Increase government spending</v>
      </c>
      <c r="C14" s="3">
        <v>6</v>
      </c>
      <c r="D14" s="3" t="str">
        <f>VLOOKUP(C14,EconomicVariables!A:B,2,FALSE)</f>
        <v>Interest Rate</v>
      </c>
      <c r="E14" s="3" t="s">
        <v>49</v>
      </c>
      <c r="F14" s="3" t="str">
        <f t="shared" si="0"/>
        <v>Expansionary fiscal policy使public savings=tax-(government spending+transfers)降低，减少Supply of Loans（或增加deficit spending进而增加Demand for Loans)，因而利率上升。见loanable funds market diagram</v>
      </c>
    </row>
    <row r="15" spans="1:12" x14ac:dyDescent="0.35">
      <c r="A15" s="4">
        <v>2</v>
      </c>
      <c r="B15" s="3" t="str">
        <f>VLOOKUP(A15,PolicyActions!A:B,2,FALSE)</f>
        <v>Increase government spending</v>
      </c>
      <c r="C15" s="3">
        <v>7</v>
      </c>
      <c r="D15" s="3" t="str">
        <f>VLOOKUP(C15,EconomicVariables!A:B,2,FALSE)</f>
        <v>Bond Price</v>
      </c>
      <c r="E15" s="3" t="s">
        <v>50</v>
      </c>
      <c r="F15" s="3" t="str">
        <f t="shared" si="0"/>
        <v>债券价格与利率反向。（Expansionary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16" spans="1:12" x14ac:dyDescent="0.35">
      <c r="A16" s="4">
        <v>2</v>
      </c>
      <c r="B16" s="3" t="str">
        <f>VLOOKUP(A16,PolicyActions!A:B,2,FALSE)</f>
        <v>Increase government spending</v>
      </c>
      <c r="C16" s="3">
        <v>8</v>
      </c>
      <c r="D16" s="3" t="str">
        <f>VLOOKUP(C16,EconomicVariables!A:B,2,FALSE)</f>
        <v>Interest-sensitive Private Spending (Investment &amp; Consumption)</v>
      </c>
      <c r="E16" s="3" t="s">
        <v>50</v>
      </c>
      <c r="F16" s="3" t="str">
        <f t="shared" si="0"/>
        <v>Interest-sensitive Private Spending (Investment &amp; Consumption)与利率反向。（Expansionary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17" spans="1:6" x14ac:dyDescent="0.35">
      <c r="A17" s="4">
        <v>2</v>
      </c>
      <c r="B17" s="3" t="str">
        <f>VLOOKUP(A17,PolicyActions!A:B,2,FALSE)</f>
        <v>Increase government spending</v>
      </c>
      <c r="C17" s="3">
        <v>9</v>
      </c>
      <c r="D17" s="3" t="str">
        <f>VLOOKUP(C17,EconomicVariables!A:B,2,FALSE)</f>
        <v>Economic Growth (LRAS, PPC)</v>
      </c>
      <c r="E17" s="3" t="s">
        <v>50</v>
      </c>
      <c r="F17" s="3" t="str">
        <f t="shared" si="0"/>
        <v>Investment与利率反向，长期会影响capital stock资本存量（属于资源数量）和潜在产能。（Expansionary fiscal policy使public savings=tax-(government spending+transfers)降低，减少Supply of Loans（或增加deficit spending进而增加Demand for Loans)，因而利率上升。见loanable funds market diagram）</v>
      </c>
    </row>
    <row r="18" spans="1:6" x14ac:dyDescent="0.35">
      <c r="A18" s="4">
        <v>3</v>
      </c>
      <c r="B18" s="3" t="str">
        <f>VLOOKUP(A18,PolicyActions!A:B,2,FALSE)</f>
        <v>Increase transfer payments (e.g. unemployment benefits)</v>
      </c>
      <c r="C18" s="3">
        <v>1</v>
      </c>
      <c r="D18" s="3" t="str">
        <f>VLOOKUP(C18,EconomicVariables!A:B,2,FALSE)</f>
        <v>Aggregate Demand</v>
      </c>
      <c r="E18" s="3" t="s">
        <v>49</v>
      </c>
      <c r="F18" s="3" t="str">
        <f t="shared" si="0"/>
        <v>Expansionary fiscal policy刺激经济，增加AD。政府支出直接影响AD，税和转移支付影响disposable income，间接影响private spending和AD。（但如有deficit，政府借债可能会crowd out部分private spending）</v>
      </c>
    </row>
    <row r="19" spans="1:6" x14ac:dyDescent="0.35">
      <c r="A19" s="4">
        <v>3</v>
      </c>
      <c r="B19" s="3" t="str">
        <f>VLOOKUP(A19,PolicyActions!A:B,2,FALSE)</f>
        <v>Increase transfer payments (e.g. unemployment benefits)</v>
      </c>
      <c r="C19" s="3">
        <v>2</v>
      </c>
      <c r="D19" s="3" t="str">
        <f>VLOOKUP(C19,EconomicVariables!A:B,2,FALSE)</f>
        <v>Price Level</v>
      </c>
      <c r="E19" s="3" t="s">
        <v>49</v>
      </c>
      <c r="F19" s="3" t="str">
        <f t="shared" si="0"/>
        <v>Expansionary fiscal policy刺激经济，增加AD，见AD-AS diagram</v>
      </c>
    </row>
    <row r="20" spans="1:6" x14ac:dyDescent="0.35">
      <c r="A20" s="4">
        <v>3</v>
      </c>
      <c r="B20" s="3" t="str">
        <f>VLOOKUP(A20,PolicyActions!A:B,2,FALSE)</f>
        <v>Increase transfer payments (e.g. unemployment benefits)</v>
      </c>
      <c r="C20" s="3">
        <v>3</v>
      </c>
      <c r="D20" s="3" t="str">
        <f>VLOOKUP(C20,EconomicVariables!A:B,2,FALSE)</f>
        <v>Real GDP</v>
      </c>
      <c r="E20" s="3" t="s">
        <v>49</v>
      </c>
      <c r="F20" s="3" t="str">
        <f t="shared" si="0"/>
        <v>Expansionary fiscal policy刺激经济，增加AD，见AD-AS diagram</v>
      </c>
    </row>
    <row r="21" spans="1:6" x14ac:dyDescent="0.35">
      <c r="A21" s="4">
        <v>3</v>
      </c>
      <c r="B21" s="3" t="str">
        <f>VLOOKUP(A21,PolicyActions!A:B,2,FALSE)</f>
        <v>Increase transfer payments (e.g. unemployment benefits)</v>
      </c>
      <c r="C21" s="3">
        <v>4</v>
      </c>
      <c r="D21" s="3" t="str">
        <f>VLOOKUP(C21,EconomicVariables!A:B,2,FALSE)</f>
        <v>Unemployment Rate</v>
      </c>
      <c r="E21" s="3" t="s">
        <v>50</v>
      </c>
      <c r="F21" s="3" t="str">
        <f t="shared" si="0"/>
        <v>失业率通常与real GDP反向。（Expansionary fiscal policy刺激经济，增加AD，见AD-AS diagram）</v>
      </c>
    </row>
    <row r="22" spans="1:6" x14ac:dyDescent="0.35">
      <c r="A22" s="4">
        <v>3</v>
      </c>
      <c r="B22" s="3" t="str">
        <f>VLOOKUP(A22,PolicyActions!A:B,2,FALSE)</f>
        <v>Increase transfer payments (e.g. unemployment benefits)</v>
      </c>
      <c r="C22" s="3">
        <v>6</v>
      </c>
      <c r="D22" s="3" t="str">
        <f>VLOOKUP(C22,EconomicVariables!A:B,2,FALSE)</f>
        <v>Interest Rate</v>
      </c>
      <c r="E22" s="3" t="s">
        <v>49</v>
      </c>
      <c r="F22" s="3" t="str">
        <f t="shared" si="0"/>
        <v>Expansionary fiscal policy使public savings=tax-(government spending+transfers)降低，减少Supply of Loans（或增加deficit spending进而增加Demand for Loans)，因而利率上升。见loanable funds market diagram</v>
      </c>
    </row>
    <row r="23" spans="1:6" x14ac:dyDescent="0.35">
      <c r="A23" s="4">
        <v>3</v>
      </c>
      <c r="B23" s="3" t="str">
        <f>VLOOKUP(A23,PolicyActions!A:B,2,FALSE)</f>
        <v>Increase transfer payments (e.g. unemployment benefits)</v>
      </c>
      <c r="C23" s="3">
        <v>7</v>
      </c>
      <c r="D23" s="3" t="str">
        <f>VLOOKUP(C23,EconomicVariables!A:B,2,FALSE)</f>
        <v>Bond Price</v>
      </c>
      <c r="E23" s="3" t="s">
        <v>50</v>
      </c>
      <c r="F23" s="3" t="str">
        <f t="shared" si="0"/>
        <v>债券价格与利率反向。（Expansionary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24" spans="1:6" x14ac:dyDescent="0.35">
      <c r="A24" s="4">
        <v>3</v>
      </c>
      <c r="B24" s="3" t="str">
        <f>VLOOKUP(A24,PolicyActions!A:B,2,FALSE)</f>
        <v>Increase transfer payments (e.g. unemployment benefits)</v>
      </c>
      <c r="C24" s="3">
        <v>8</v>
      </c>
      <c r="D24" s="3" t="str">
        <f>VLOOKUP(C24,EconomicVariables!A:B,2,FALSE)</f>
        <v>Interest-sensitive Private Spending (Investment &amp; Consumption)</v>
      </c>
      <c r="E24" s="3" t="s">
        <v>50</v>
      </c>
      <c r="F24" s="3" t="str">
        <f t="shared" si="0"/>
        <v>Interest-sensitive Private Spending (Investment &amp; Consumption)与利率反向。（Expansionary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25" spans="1:6" x14ac:dyDescent="0.35">
      <c r="A25" s="4">
        <v>3</v>
      </c>
      <c r="B25" s="3" t="str">
        <f>VLOOKUP(A25,PolicyActions!A:B,2,FALSE)</f>
        <v>Increase transfer payments (e.g. unemployment benefits)</v>
      </c>
      <c r="C25" s="3">
        <v>9</v>
      </c>
      <c r="D25" s="3" t="str">
        <f>VLOOKUP(C25,EconomicVariables!A:B,2,FALSE)</f>
        <v>Economic Growth (LRAS, PPC)</v>
      </c>
      <c r="E25" s="3" t="s">
        <v>50</v>
      </c>
      <c r="F25" s="3" t="str">
        <f t="shared" si="0"/>
        <v>Investment与利率反向，长期会影响capital stock资本存量（属于资源数量）和潜在产能。（Expansionary fiscal policy使public savings=tax-(government spending+transfers)降低，减少Supply of Loans（或增加deficit spending进而增加Demand for Loans)，因而利率上升。见loanable funds market diagram）</v>
      </c>
    </row>
    <row r="26" spans="1:6" x14ac:dyDescent="0.35">
      <c r="A26" s="3">
        <v>4</v>
      </c>
      <c r="B26" s="3" t="str">
        <f>VLOOKUP(A26,PolicyActions!A:B,2,FALSE)</f>
        <v>Decrease taxes</v>
      </c>
      <c r="C26" s="3">
        <v>1</v>
      </c>
      <c r="D26" s="3" t="str">
        <f>VLOOKUP(C26,EconomicVariables!A:B,2,FALSE)</f>
        <v>Aggregate Demand</v>
      </c>
      <c r="E26" s="3" t="s">
        <v>49</v>
      </c>
      <c r="F26" s="3" t="str">
        <f t="shared" si="0"/>
        <v>Expansionary fiscal policy刺激经济，增加AD。政府支出直接影响AD，税和转移支付影响disposable income，间接影响private spending和AD。（但如有deficit，政府借债可能会crowd out部分private spending）</v>
      </c>
    </row>
    <row r="27" spans="1:6" x14ac:dyDescent="0.35">
      <c r="A27" s="3">
        <v>4</v>
      </c>
      <c r="B27" s="3" t="str">
        <f>VLOOKUP(A27,PolicyActions!A:B,2,FALSE)</f>
        <v>Decrease taxes</v>
      </c>
      <c r="C27" s="3">
        <v>2</v>
      </c>
      <c r="D27" s="3" t="str">
        <f>VLOOKUP(C27,EconomicVariables!A:B,2,FALSE)</f>
        <v>Price Level</v>
      </c>
      <c r="E27" s="3" t="s">
        <v>49</v>
      </c>
      <c r="F27" s="3" t="str">
        <f t="shared" si="0"/>
        <v>Expansionary fiscal policy刺激经济，增加AD，见AD-AS diagram</v>
      </c>
    </row>
    <row r="28" spans="1:6" x14ac:dyDescent="0.35">
      <c r="A28" s="3">
        <v>4</v>
      </c>
      <c r="B28" s="3" t="str">
        <f>VLOOKUP(A28,PolicyActions!A:B,2,FALSE)</f>
        <v>Decrease taxes</v>
      </c>
      <c r="C28" s="3">
        <v>3</v>
      </c>
      <c r="D28" s="3" t="str">
        <f>VLOOKUP(C28,EconomicVariables!A:B,2,FALSE)</f>
        <v>Real GDP</v>
      </c>
      <c r="E28" s="3" t="s">
        <v>49</v>
      </c>
      <c r="F28" s="3" t="str">
        <f t="shared" si="0"/>
        <v>Expansionary fiscal policy刺激经济，增加AD，见AD-AS diagram</v>
      </c>
    </row>
    <row r="29" spans="1:6" x14ac:dyDescent="0.35">
      <c r="A29" s="3">
        <v>4</v>
      </c>
      <c r="B29" s="3" t="str">
        <f>VLOOKUP(A29,PolicyActions!A:B,2,FALSE)</f>
        <v>Decrease taxes</v>
      </c>
      <c r="C29" s="3">
        <v>4</v>
      </c>
      <c r="D29" s="3" t="str">
        <f>VLOOKUP(C29,EconomicVariables!A:B,2,FALSE)</f>
        <v>Unemployment Rate</v>
      </c>
      <c r="E29" s="3" t="s">
        <v>50</v>
      </c>
      <c r="F29" s="3" t="str">
        <f t="shared" si="0"/>
        <v>失业率通常与real GDP反向。（Expansionary fiscal policy刺激经济，增加AD，见AD-AS diagram）</v>
      </c>
    </row>
    <row r="30" spans="1:6" x14ac:dyDescent="0.35">
      <c r="A30" s="3">
        <v>4</v>
      </c>
      <c r="B30" s="3" t="str">
        <f>VLOOKUP(A30,PolicyActions!A:B,2,FALSE)</f>
        <v>Decrease taxes</v>
      </c>
      <c r="C30" s="3">
        <v>6</v>
      </c>
      <c r="D30" s="3" t="str">
        <f>VLOOKUP(C30,EconomicVariables!A:B,2,FALSE)</f>
        <v>Interest Rate</v>
      </c>
      <c r="E30" s="3" t="s">
        <v>49</v>
      </c>
      <c r="F30" s="3" t="str">
        <f t="shared" si="0"/>
        <v>Expansionary fiscal policy使public savings=tax-(government spending+transfers)降低，减少Supply of Loans（或增加deficit spending进而增加Demand for Loans)，因而利率上升。见loanable funds market diagram</v>
      </c>
    </row>
    <row r="31" spans="1:6" x14ac:dyDescent="0.35">
      <c r="A31" s="3">
        <v>4</v>
      </c>
      <c r="B31" s="3" t="str">
        <f>VLOOKUP(A31,PolicyActions!A:B,2,FALSE)</f>
        <v>Decrease taxes</v>
      </c>
      <c r="C31" s="3">
        <v>7</v>
      </c>
      <c r="D31" s="3" t="str">
        <f>VLOOKUP(C31,EconomicVariables!A:B,2,FALSE)</f>
        <v>Bond Price</v>
      </c>
      <c r="E31" s="3" t="s">
        <v>50</v>
      </c>
      <c r="F31" s="3" t="str">
        <f t="shared" si="0"/>
        <v>债券价格与利率反向。（Expansionary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32" spans="1:6" x14ac:dyDescent="0.35">
      <c r="A32" s="3">
        <v>4</v>
      </c>
      <c r="B32" s="3" t="str">
        <f>VLOOKUP(A32,PolicyActions!A:B,2,FALSE)</f>
        <v>Decrease taxes</v>
      </c>
      <c r="C32" s="3">
        <v>8</v>
      </c>
      <c r="D32" s="3" t="str">
        <f>VLOOKUP(C32,EconomicVariables!A:B,2,FALSE)</f>
        <v>Interest-sensitive Private Spending (Investment &amp; Consumption)</v>
      </c>
      <c r="E32" s="3" t="s">
        <v>50</v>
      </c>
      <c r="F32" s="3" t="str">
        <f t="shared" si="0"/>
        <v>Interest-sensitive Private Spending (Investment &amp; Consumption)与利率反向。（Expansionary fiscal policy使public savings=tax-(government spending+transfers)降低，减少Supply of Loans（或增加deficit spending进而增加Demand for Loans)，因而利率上升。见loanable funds market diagram）</v>
      </c>
    </row>
    <row r="33" spans="1:6" x14ac:dyDescent="0.35">
      <c r="A33" s="3">
        <v>4</v>
      </c>
      <c r="B33" s="3" t="str">
        <f>VLOOKUP(A33,PolicyActions!A:B,2,FALSE)</f>
        <v>Decrease taxes</v>
      </c>
      <c r="C33" s="3">
        <v>9</v>
      </c>
      <c r="D33" s="3" t="str">
        <f>VLOOKUP(C33,EconomicVariables!A:B,2,FALSE)</f>
        <v>Economic Growth (LRAS, PPC)</v>
      </c>
      <c r="E33" s="3" t="s">
        <v>50</v>
      </c>
      <c r="F33" s="3" t="str">
        <f t="shared" si="0"/>
        <v>Investment与利率反向，长期会影响capital stock资本存量（属于资源数量）和潜在产能。（Expansionary fiscal policy使public savings=tax-(government spending+transfers)降低，减少Supply of Loans（或增加deficit spending进而增加Demand for Loans)，因而利率上升。见loanable funds market diagram）</v>
      </c>
    </row>
    <row r="34" spans="1:6" x14ac:dyDescent="0.35">
      <c r="A34" s="5">
        <v>5</v>
      </c>
      <c r="B34" s="6" t="str">
        <f>VLOOKUP(A34,PolicyActions!A:B,2,FALSE)</f>
        <v>Contractionary fiscal policy</v>
      </c>
      <c r="C34" s="6">
        <v>1</v>
      </c>
      <c r="D34" s="6" t="str">
        <f>VLOOKUP(C34,EconomicVariables!A:B,2,FALSE)</f>
        <v>Aggregate Demand</v>
      </c>
      <c r="E34" s="6" t="s">
        <v>74</v>
      </c>
      <c r="F34" s="6" t="s">
        <v>71</v>
      </c>
    </row>
    <row r="35" spans="1:6" x14ac:dyDescent="0.35">
      <c r="A35" s="5">
        <v>5</v>
      </c>
      <c r="B35" s="6" t="str">
        <f>VLOOKUP(A35,PolicyActions!A:B,2,FALSE)</f>
        <v>Contractionary fiscal policy</v>
      </c>
      <c r="C35" s="6">
        <v>2</v>
      </c>
      <c r="D35" s="6" t="str">
        <f>VLOOKUP(C35,EconomicVariables!A:B,2,FALSE)</f>
        <v>Price Level</v>
      </c>
      <c r="E35" s="6" t="s">
        <v>74</v>
      </c>
      <c r="F35" s="6" t="s">
        <v>124</v>
      </c>
    </row>
    <row r="36" spans="1:6" x14ac:dyDescent="0.35">
      <c r="A36" s="5">
        <v>5</v>
      </c>
      <c r="B36" s="6" t="str">
        <f>VLOOKUP(A36,PolicyActions!A:B,2,FALSE)</f>
        <v>Contractionary fiscal policy</v>
      </c>
      <c r="C36" s="6">
        <v>3</v>
      </c>
      <c r="D36" s="6" t="str">
        <f>VLOOKUP(C36,EconomicVariables!A:B,2,FALSE)</f>
        <v>Real GDP</v>
      </c>
      <c r="E36" s="6" t="s">
        <v>74</v>
      </c>
      <c r="F36" s="6" t="s">
        <v>124</v>
      </c>
    </row>
    <row r="37" spans="1:6" x14ac:dyDescent="0.35">
      <c r="A37" s="5">
        <v>5</v>
      </c>
      <c r="B37" s="6" t="str">
        <f>VLOOKUP(A37,PolicyActions!A:B,2,FALSE)</f>
        <v>Contractionary fiscal policy</v>
      </c>
      <c r="C37" s="6">
        <v>4</v>
      </c>
      <c r="D37" s="6" t="str">
        <f>VLOOKUP(C37,EconomicVariables!A:B,2,FALSE)</f>
        <v>Unemployment Rate</v>
      </c>
      <c r="E37" s="6" t="s">
        <v>75</v>
      </c>
      <c r="F37" s="6" t="s">
        <v>125</v>
      </c>
    </row>
    <row r="38" spans="1:6" x14ac:dyDescent="0.35">
      <c r="A38" s="5">
        <v>5</v>
      </c>
      <c r="B38" s="6" t="str">
        <f>VLOOKUP(A38,PolicyActions!A:B,2,FALSE)</f>
        <v>Contractionary fiscal policy</v>
      </c>
      <c r="C38" s="6">
        <v>6</v>
      </c>
      <c r="D38" s="6" t="str">
        <f>VLOOKUP(C38,EconomicVariables!A:B,2,FALSE)</f>
        <v>Interest Rate</v>
      </c>
      <c r="E38" s="6" t="s">
        <v>74</v>
      </c>
      <c r="F38" s="6" t="s">
        <v>130</v>
      </c>
    </row>
    <row r="39" spans="1:6" x14ac:dyDescent="0.35">
      <c r="A39" s="5">
        <v>5</v>
      </c>
      <c r="B39" s="6" t="str">
        <f>VLOOKUP(A39,PolicyActions!A:B,2,FALSE)</f>
        <v>Contractionary fiscal policy</v>
      </c>
      <c r="C39" s="6">
        <v>7</v>
      </c>
      <c r="D39" s="6" t="str">
        <f>VLOOKUP(C39,EconomicVariables!A:B,2,FALSE)</f>
        <v>Bond Price</v>
      </c>
      <c r="E39" s="6" t="s">
        <v>75</v>
      </c>
      <c r="F39" s="6" t="s">
        <v>134</v>
      </c>
    </row>
    <row r="40" spans="1:6" x14ac:dyDescent="0.35">
      <c r="A40" s="5">
        <v>5</v>
      </c>
      <c r="B40" s="6" t="str">
        <f>VLOOKUP(A40,PolicyActions!A:B,2,FALSE)</f>
        <v>Contractionary fiscal policy</v>
      </c>
      <c r="C40" s="6">
        <v>8</v>
      </c>
      <c r="D40" s="6" t="str">
        <f>VLOOKUP(C40,EconomicVariables!A:B,2,FALSE)</f>
        <v>Interest-sensitive Private Spending (Investment &amp; Consumption)</v>
      </c>
      <c r="E40" s="6" t="s">
        <v>75</v>
      </c>
      <c r="F40" s="6" t="s">
        <v>135</v>
      </c>
    </row>
    <row r="41" spans="1:6" x14ac:dyDescent="0.35">
      <c r="A41" s="5">
        <v>5</v>
      </c>
      <c r="B41" s="6" t="str">
        <f>VLOOKUP(A41,PolicyActions!A:B,2,FALSE)</f>
        <v>Contractionary fiscal policy</v>
      </c>
      <c r="C41" s="6">
        <v>9</v>
      </c>
      <c r="D41" s="6" t="str">
        <f>VLOOKUP(C41,EconomicVariables!A:B,2,FALSE)</f>
        <v>Economic Growth (LRAS, PPC)</v>
      </c>
      <c r="E41" s="6" t="s">
        <v>75</v>
      </c>
      <c r="F41" s="6" t="s">
        <v>136</v>
      </c>
    </row>
    <row r="42" spans="1:6" x14ac:dyDescent="0.35">
      <c r="A42" s="6">
        <v>6</v>
      </c>
      <c r="B42" s="6" t="str">
        <f>VLOOKUP(A42,PolicyActions!A:B,2,FALSE)</f>
        <v>Decrease government spending</v>
      </c>
      <c r="C42" s="6">
        <v>1</v>
      </c>
      <c r="D42" s="6" t="str">
        <f>VLOOKUP(C42,EconomicVariables!A:B,2,FALSE)</f>
        <v>Aggregate Demand</v>
      </c>
      <c r="E42" s="6" t="s">
        <v>74</v>
      </c>
      <c r="F42" s="6" t="str">
        <f>F34</f>
        <v>Contractionary fiscal policy减少AD，政府支出直接影响AD，税和转移支付影响disposable income，间接影响private spending和AD。</v>
      </c>
    </row>
    <row r="43" spans="1:6" x14ac:dyDescent="0.35">
      <c r="A43" s="6">
        <v>6</v>
      </c>
      <c r="B43" s="6" t="str">
        <f>VLOOKUP(A43,PolicyActions!A:B,2,FALSE)</f>
        <v>Decrease government spending</v>
      </c>
      <c r="C43" s="6">
        <v>2</v>
      </c>
      <c r="D43" s="6" t="str">
        <f>VLOOKUP(C43,EconomicVariables!A:B,2,FALSE)</f>
        <v>Price Level</v>
      </c>
      <c r="E43" s="6" t="s">
        <v>74</v>
      </c>
      <c r="F43" s="6" t="str">
        <f>F35</f>
        <v>Contractionary fiscal policy减少AD，见AD-AS diagram</v>
      </c>
    </row>
    <row r="44" spans="1:6" x14ac:dyDescent="0.35">
      <c r="A44" s="6">
        <v>6</v>
      </c>
      <c r="B44" s="6" t="str">
        <f>VLOOKUP(A44,PolicyActions!A:B,2,FALSE)</f>
        <v>Decrease government spending</v>
      </c>
      <c r="C44" s="6">
        <v>3</v>
      </c>
      <c r="D44" s="6" t="str">
        <f>VLOOKUP(C44,EconomicVariables!A:B,2,FALSE)</f>
        <v>Real GDP</v>
      </c>
      <c r="E44" s="6" t="s">
        <v>74</v>
      </c>
      <c r="F44" s="6" t="str">
        <f t="shared" ref="F44:F65" si="1">F36</f>
        <v>Contractionary fiscal policy减少AD，见AD-AS diagram</v>
      </c>
    </row>
    <row r="45" spans="1:6" x14ac:dyDescent="0.35">
      <c r="A45" s="6">
        <v>6</v>
      </c>
      <c r="B45" s="6" t="str">
        <f>VLOOKUP(A45,PolicyActions!A:B,2,FALSE)</f>
        <v>Decrease government spending</v>
      </c>
      <c r="C45" s="6">
        <v>4</v>
      </c>
      <c r="D45" s="6" t="str">
        <f>VLOOKUP(C45,EconomicVariables!A:B,2,FALSE)</f>
        <v>Unemployment Rate</v>
      </c>
      <c r="E45" s="6" t="s">
        <v>75</v>
      </c>
      <c r="F45" s="6" t="str">
        <f t="shared" si="1"/>
        <v>失业率通常与real GDP反向。（Contractionary fiscal policy减少AD，见AD-AS diagram）</v>
      </c>
    </row>
    <row r="46" spans="1:6" x14ac:dyDescent="0.35">
      <c r="A46" s="6">
        <v>6</v>
      </c>
      <c r="B46" s="6" t="str">
        <f>VLOOKUP(A46,PolicyActions!A:B,2,FALSE)</f>
        <v>Decrease government spending</v>
      </c>
      <c r="C46" s="6">
        <v>6</v>
      </c>
      <c r="D46" s="6" t="str">
        <f>VLOOKUP(C46,EconomicVariables!A:B,2,FALSE)</f>
        <v>Interest Rate</v>
      </c>
      <c r="E46" s="6" t="s">
        <v>74</v>
      </c>
      <c r="F46" s="6" t="str">
        <f t="shared" si="1"/>
        <v>Contractionary fiscal policy使public savings=tax-(government spending+transfers)增加，增加Supply of Loans（或减少deficit spending进而减少Demand for Loans)，因而利率下降。见loanable funds market diagram</v>
      </c>
    </row>
    <row r="47" spans="1:6" x14ac:dyDescent="0.35">
      <c r="A47" s="6">
        <v>6</v>
      </c>
      <c r="B47" s="6" t="str">
        <f>VLOOKUP(A47,PolicyActions!A:B,2,FALSE)</f>
        <v>Decrease government spending</v>
      </c>
      <c r="C47" s="6">
        <v>7</v>
      </c>
      <c r="D47" s="6" t="str">
        <f>VLOOKUP(C47,EconomicVariables!A:B,2,FALSE)</f>
        <v>Bond Price</v>
      </c>
      <c r="E47" s="6" t="s">
        <v>75</v>
      </c>
      <c r="F47" s="6" t="str">
        <f t="shared" si="1"/>
        <v>债券价格与利率反向。（Contractionary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48" spans="1:6" x14ac:dyDescent="0.35">
      <c r="A48" s="6">
        <v>6</v>
      </c>
      <c r="B48" s="6" t="str">
        <f>VLOOKUP(A48,PolicyActions!A:B,2,FALSE)</f>
        <v>Decrease government spending</v>
      </c>
      <c r="C48" s="6">
        <v>8</v>
      </c>
      <c r="D48" s="6" t="str">
        <f>VLOOKUP(C48,EconomicVariables!A:B,2,FALSE)</f>
        <v>Interest-sensitive Private Spending (Investment &amp; Consumption)</v>
      </c>
      <c r="E48" s="6" t="s">
        <v>75</v>
      </c>
      <c r="F48" s="6" t="str">
        <f t="shared" si="1"/>
        <v>Interest-sensitive Private Spending (Investment &amp; Consumption)与利率反向。（Contractionary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49" spans="1:6" x14ac:dyDescent="0.35">
      <c r="A49" s="6">
        <v>6</v>
      </c>
      <c r="B49" s="6" t="str">
        <f>VLOOKUP(A49,PolicyActions!A:B,2,FALSE)</f>
        <v>Decrease government spending</v>
      </c>
      <c r="C49" s="6">
        <v>9</v>
      </c>
      <c r="D49" s="6" t="str">
        <f>VLOOKUP(C49,EconomicVariables!A:B,2,FALSE)</f>
        <v>Economic Growth (LRAS, PPC)</v>
      </c>
      <c r="E49" s="6" t="s">
        <v>75</v>
      </c>
      <c r="F49" s="6" t="str">
        <f t="shared" si="1"/>
        <v>Investment与利率反向，长期会影响capital stock资本存量（属于资源数量）和潜在产能。（Contractionary fiscal policy使public savings=tax-(government spending+transfers)增加，增加Supply of Loans（或减少deficit spending进而减少Demand for Loans)，因而利率下降。见loanable funds market diagram）</v>
      </c>
    </row>
    <row r="50" spans="1:6" x14ac:dyDescent="0.35">
      <c r="A50" s="6">
        <v>7</v>
      </c>
      <c r="B50" s="6" t="str">
        <f>VLOOKUP(A50,PolicyActions!A:B,2,FALSE)</f>
        <v>Decrease transfer payments</v>
      </c>
      <c r="C50" s="6">
        <v>1</v>
      </c>
      <c r="D50" s="6" t="str">
        <f>VLOOKUP(C50,EconomicVariables!A:B,2,FALSE)</f>
        <v>Aggregate Demand</v>
      </c>
      <c r="E50" s="6" t="s">
        <v>74</v>
      </c>
      <c r="F50" s="6" t="str">
        <f t="shared" si="1"/>
        <v>Contractionary fiscal policy减少AD，政府支出直接影响AD，税和转移支付影响disposable income，间接影响private spending和AD。</v>
      </c>
    </row>
    <row r="51" spans="1:6" x14ac:dyDescent="0.35">
      <c r="A51" s="6">
        <v>7</v>
      </c>
      <c r="B51" s="6" t="str">
        <f>VLOOKUP(A51,PolicyActions!A:B,2,FALSE)</f>
        <v>Decrease transfer payments</v>
      </c>
      <c r="C51" s="6">
        <v>2</v>
      </c>
      <c r="D51" s="6" t="str">
        <f>VLOOKUP(C51,EconomicVariables!A:B,2,FALSE)</f>
        <v>Price Level</v>
      </c>
      <c r="E51" s="6" t="s">
        <v>74</v>
      </c>
      <c r="F51" s="6" t="str">
        <f t="shared" si="1"/>
        <v>Contractionary fiscal policy减少AD，见AD-AS diagram</v>
      </c>
    </row>
    <row r="52" spans="1:6" x14ac:dyDescent="0.35">
      <c r="A52" s="6">
        <v>7</v>
      </c>
      <c r="B52" s="6" t="str">
        <f>VLOOKUP(A52,PolicyActions!A:B,2,FALSE)</f>
        <v>Decrease transfer payments</v>
      </c>
      <c r="C52" s="6">
        <v>3</v>
      </c>
      <c r="D52" s="6" t="str">
        <f>VLOOKUP(C52,EconomicVariables!A:B,2,FALSE)</f>
        <v>Real GDP</v>
      </c>
      <c r="E52" s="6" t="s">
        <v>74</v>
      </c>
      <c r="F52" s="6" t="str">
        <f t="shared" si="1"/>
        <v>Contractionary fiscal policy减少AD，见AD-AS diagram</v>
      </c>
    </row>
    <row r="53" spans="1:6" x14ac:dyDescent="0.35">
      <c r="A53" s="6">
        <v>7</v>
      </c>
      <c r="B53" s="6" t="str">
        <f>VLOOKUP(A53,PolicyActions!A:B,2,FALSE)</f>
        <v>Decrease transfer payments</v>
      </c>
      <c r="C53" s="6">
        <v>4</v>
      </c>
      <c r="D53" s="6" t="str">
        <f>VLOOKUP(C53,EconomicVariables!A:B,2,FALSE)</f>
        <v>Unemployment Rate</v>
      </c>
      <c r="E53" s="6" t="s">
        <v>75</v>
      </c>
      <c r="F53" s="6" t="str">
        <f t="shared" si="1"/>
        <v>失业率通常与real GDP反向。（Contractionary fiscal policy减少AD，见AD-AS diagram）</v>
      </c>
    </row>
    <row r="54" spans="1:6" x14ac:dyDescent="0.35">
      <c r="A54" s="6">
        <v>7</v>
      </c>
      <c r="B54" s="6" t="str">
        <f>VLOOKUP(A54,PolicyActions!A:B,2,FALSE)</f>
        <v>Decrease transfer payments</v>
      </c>
      <c r="C54" s="6">
        <v>6</v>
      </c>
      <c r="D54" s="6" t="str">
        <f>VLOOKUP(C54,EconomicVariables!A:B,2,FALSE)</f>
        <v>Interest Rate</v>
      </c>
      <c r="E54" s="6" t="s">
        <v>74</v>
      </c>
      <c r="F54" s="6" t="str">
        <f t="shared" si="1"/>
        <v>Contractionary fiscal policy使public savings=tax-(government spending+transfers)增加，增加Supply of Loans（或减少deficit spending进而减少Demand for Loans)，因而利率下降。见loanable funds market diagram</v>
      </c>
    </row>
    <row r="55" spans="1:6" x14ac:dyDescent="0.35">
      <c r="A55" s="6">
        <v>7</v>
      </c>
      <c r="B55" s="6" t="str">
        <f>VLOOKUP(A55,PolicyActions!A:B,2,FALSE)</f>
        <v>Decrease transfer payments</v>
      </c>
      <c r="C55" s="6">
        <v>7</v>
      </c>
      <c r="D55" s="6" t="str">
        <f>VLOOKUP(C55,EconomicVariables!A:B,2,FALSE)</f>
        <v>Bond Price</v>
      </c>
      <c r="E55" s="6" t="s">
        <v>75</v>
      </c>
      <c r="F55" s="6" t="str">
        <f t="shared" si="1"/>
        <v>债券价格与利率反向。（Contractionary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56" spans="1:6" x14ac:dyDescent="0.35">
      <c r="A56" s="6">
        <v>7</v>
      </c>
      <c r="B56" s="6" t="str">
        <f>VLOOKUP(A56,PolicyActions!A:B,2,FALSE)</f>
        <v>Decrease transfer payments</v>
      </c>
      <c r="C56" s="6">
        <v>8</v>
      </c>
      <c r="D56" s="6" t="str">
        <f>VLOOKUP(C56,EconomicVariables!A:B,2,FALSE)</f>
        <v>Interest-sensitive Private Spending (Investment &amp; Consumption)</v>
      </c>
      <c r="E56" s="6" t="s">
        <v>75</v>
      </c>
      <c r="F56" s="6" t="str">
        <f t="shared" si="1"/>
        <v>Interest-sensitive Private Spending (Investment &amp; Consumption)与利率反向。（Contractionary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57" spans="1:6" x14ac:dyDescent="0.35">
      <c r="A57" s="6">
        <v>7</v>
      </c>
      <c r="B57" s="6" t="str">
        <f>VLOOKUP(A57,PolicyActions!A:B,2,FALSE)</f>
        <v>Decrease transfer payments</v>
      </c>
      <c r="C57" s="6">
        <v>9</v>
      </c>
      <c r="D57" s="6" t="str">
        <f>VLOOKUP(C57,EconomicVariables!A:B,2,FALSE)</f>
        <v>Economic Growth (LRAS, PPC)</v>
      </c>
      <c r="E57" s="6" t="s">
        <v>75</v>
      </c>
      <c r="F57" s="6" t="str">
        <f t="shared" si="1"/>
        <v>Investment与利率反向，长期会影响capital stock资本存量（属于资源数量）和潜在产能。（Contractionary fiscal policy使public savings=tax-(government spending+transfers)增加，增加Supply of Loans（或减少deficit spending进而减少Demand for Loans)，因而利率下降。见loanable funds market diagram）</v>
      </c>
    </row>
    <row r="58" spans="1:6" x14ac:dyDescent="0.35">
      <c r="A58" s="6">
        <v>8</v>
      </c>
      <c r="B58" s="6" t="str">
        <f>VLOOKUP(A58,PolicyActions!A:B,2,FALSE)</f>
        <v>Increase taxes</v>
      </c>
      <c r="C58" s="6">
        <v>1</v>
      </c>
      <c r="D58" s="6" t="str">
        <f>VLOOKUP(C58,EconomicVariables!A:B,2,FALSE)</f>
        <v>Aggregate Demand</v>
      </c>
      <c r="E58" s="6" t="s">
        <v>74</v>
      </c>
      <c r="F58" s="6" t="str">
        <f t="shared" si="1"/>
        <v>Contractionary fiscal policy减少AD，政府支出直接影响AD，税和转移支付影响disposable income，间接影响private spending和AD。</v>
      </c>
    </row>
    <row r="59" spans="1:6" x14ac:dyDescent="0.35">
      <c r="A59" s="6">
        <v>8</v>
      </c>
      <c r="B59" s="6" t="str">
        <f>VLOOKUP(A59,PolicyActions!A:B,2,FALSE)</f>
        <v>Increase taxes</v>
      </c>
      <c r="C59" s="6">
        <v>2</v>
      </c>
      <c r="D59" s="6" t="str">
        <f>VLOOKUP(C59,EconomicVariables!A:B,2,FALSE)</f>
        <v>Price Level</v>
      </c>
      <c r="E59" s="6" t="s">
        <v>74</v>
      </c>
      <c r="F59" s="6" t="str">
        <f t="shared" si="1"/>
        <v>Contractionary fiscal policy减少AD，见AD-AS diagram</v>
      </c>
    </row>
    <row r="60" spans="1:6" x14ac:dyDescent="0.35">
      <c r="A60" s="6">
        <v>8</v>
      </c>
      <c r="B60" s="6" t="str">
        <f>VLOOKUP(A60,PolicyActions!A:B,2,FALSE)</f>
        <v>Increase taxes</v>
      </c>
      <c r="C60" s="6">
        <v>3</v>
      </c>
      <c r="D60" s="6" t="str">
        <f>VLOOKUP(C60,EconomicVariables!A:B,2,FALSE)</f>
        <v>Real GDP</v>
      </c>
      <c r="E60" s="6" t="s">
        <v>74</v>
      </c>
      <c r="F60" s="6" t="str">
        <f t="shared" si="1"/>
        <v>Contractionary fiscal policy减少AD，见AD-AS diagram</v>
      </c>
    </row>
    <row r="61" spans="1:6" x14ac:dyDescent="0.35">
      <c r="A61" s="6">
        <v>8</v>
      </c>
      <c r="B61" s="6" t="str">
        <f>VLOOKUP(A61,PolicyActions!A:B,2,FALSE)</f>
        <v>Increase taxes</v>
      </c>
      <c r="C61" s="6">
        <v>4</v>
      </c>
      <c r="D61" s="6" t="str">
        <f>VLOOKUP(C61,EconomicVariables!A:B,2,FALSE)</f>
        <v>Unemployment Rate</v>
      </c>
      <c r="E61" s="6" t="s">
        <v>75</v>
      </c>
      <c r="F61" s="6" t="str">
        <f t="shared" si="1"/>
        <v>失业率通常与real GDP反向。（Contractionary fiscal policy减少AD，见AD-AS diagram）</v>
      </c>
    </row>
    <row r="62" spans="1:6" x14ac:dyDescent="0.35">
      <c r="A62" s="6">
        <v>8</v>
      </c>
      <c r="B62" s="6" t="str">
        <f>VLOOKUP(A62,PolicyActions!A:B,2,FALSE)</f>
        <v>Increase taxes</v>
      </c>
      <c r="C62" s="6">
        <v>6</v>
      </c>
      <c r="D62" s="6" t="str">
        <f>VLOOKUP(C62,EconomicVariables!A:B,2,FALSE)</f>
        <v>Interest Rate</v>
      </c>
      <c r="E62" s="6" t="s">
        <v>74</v>
      </c>
      <c r="F62" s="6" t="str">
        <f t="shared" si="1"/>
        <v>Contractionary fiscal policy使public savings=tax-(government spending+transfers)增加，增加Supply of Loans（或减少deficit spending进而减少Demand for Loans)，因而利率下降。见loanable funds market diagram</v>
      </c>
    </row>
    <row r="63" spans="1:6" x14ac:dyDescent="0.35">
      <c r="A63" s="6">
        <v>8</v>
      </c>
      <c r="B63" s="6" t="str">
        <f>VLOOKUP(A63,PolicyActions!A:B,2,FALSE)</f>
        <v>Increase taxes</v>
      </c>
      <c r="C63" s="6">
        <v>7</v>
      </c>
      <c r="D63" s="6" t="str">
        <f>VLOOKUP(C63,EconomicVariables!A:B,2,FALSE)</f>
        <v>Bond Price</v>
      </c>
      <c r="E63" s="6" t="s">
        <v>75</v>
      </c>
      <c r="F63" s="6" t="str">
        <f t="shared" si="1"/>
        <v>债券价格与利率反向。（Contractionary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64" spans="1:6" x14ac:dyDescent="0.35">
      <c r="A64" s="6">
        <v>8</v>
      </c>
      <c r="B64" s="6" t="str">
        <f>VLOOKUP(A64,PolicyActions!A:B,2,FALSE)</f>
        <v>Increase taxes</v>
      </c>
      <c r="C64" s="6">
        <v>8</v>
      </c>
      <c r="D64" s="6" t="str">
        <f>VLOOKUP(C64,EconomicVariables!A:B,2,FALSE)</f>
        <v>Interest-sensitive Private Spending (Investment &amp; Consumption)</v>
      </c>
      <c r="E64" s="6" t="s">
        <v>75</v>
      </c>
      <c r="F64" s="6" t="str">
        <f t="shared" si="1"/>
        <v>Interest-sensitive Private Spending (Investment &amp; Consumption)与利率反向。（Contractionary fiscal policy使public savings=tax-(government spending+transfers)增加，增加Supply of Loans（或减少deficit spending进而减少Demand for Loans)，因而利率下降。见loanable funds market diagram）</v>
      </c>
    </row>
    <row r="65" spans="1:6" x14ac:dyDescent="0.35">
      <c r="A65" s="6">
        <v>8</v>
      </c>
      <c r="B65" s="6" t="str">
        <f>VLOOKUP(A65,PolicyActions!A:B,2,FALSE)</f>
        <v>Increase taxes</v>
      </c>
      <c r="C65" s="6">
        <v>9</v>
      </c>
      <c r="D65" s="6" t="str">
        <f>VLOOKUP(C65,EconomicVariables!A:B,2,FALSE)</f>
        <v>Economic Growth (LRAS, PPC)</v>
      </c>
      <c r="E65" s="6" t="s">
        <v>75</v>
      </c>
      <c r="F65" s="6" t="str">
        <f t="shared" si="1"/>
        <v>Investment与利率反向，长期会影响capital stock资本存量（属于资源数量）和潜在产能。（Contractionary fiscal policy使public savings=tax-(government spending+transfers)增加，增加Supply of Loans（或减少deficit spending进而减少Demand for Loans)，因而利率下降。见loanable funds market diagram）</v>
      </c>
    </row>
    <row r="66" spans="1:6" x14ac:dyDescent="0.35">
      <c r="A66" s="7">
        <v>9</v>
      </c>
      <c r="B66" s="7" t="str">
        <f>VLOOKUP(A66,PolicyActions!A:B,2,FALSE)</f>
        <v>Expansionary monetary policy</v>
      </c>
      <c r="C66" s="7">
        <v>1</v>
      </c>
      <c r="D66" s="7" t="str">
        <f>VLOOKUP(C66,EconomicVariables!A:B,2,FALSE)</f>
        <v>Aggregate Demand</v>
      </c>
      <c r="E66" s="7" t="s">
        <v>49</v>
      </c>
      <c r="F66" s="7" t="s">
        <v>137</v>
      </c>
    </row>
    <row r="67" spans="1:6" x14ac:dyDescent="0.35">
      <c r="A67" s="7">
        <v>9</v>
      </c>
      <c r="B67" s="7" t="str">
        <f>VLOOKUP(A67,PolicyActions!A:B,2,FALSE)</f>
        <v>Expansionary monetary policy</v>
      </c>
      <c r="C67" s="7">
        <v>2</v>
      </c>
      <c r="D67" s="7" t="str">
        <f>VLOOKUP(C67,EconomicVariables!A:B,2,FALSE)</f>
        <v>Price Level</v>
      </c>
      <c r="E67" s="7" t="s">
        <v>49</v>
      </c>
      <c r="F67" s="7" t="s">
        <v>138</v>
      </c>
    </row>
    <row r="68" spans="1:6" x14ac:dyDescent="0.35">
      <c r="A68" s="7">
        <v>9</v>
      </c>
      <c r="B68" s="7" t="str">
        <f>VLOOKUP(A68,PolicyActions!A:B,2,FALSE)</f>
        <v>Expansionary monetary policy</v>
      </c>
      <c r="C68" s="7">
        <v>3</v>
      </c>
      <c r="D68" s="7" t="str">
        <f>VLOOKUP(C68,EconomicVariables!A:B,2,FALSE)</f>
        <v>Real GDP</v>
      </c>
      <c r="E68" s="7" t="s">
        <v>49</v>
      </c>
      <c r="F68" s="7" t="s">
        <v>138</v>
      </c>
    </row>
    <row r="69" spans="1:6" x14ac:dyDescent="0.35">
      <c r="A69" s="7">
        <v>9</v>
      </c>
      <c r="B69" s="7" t="str">
        <f>VLOOKUP(A69,PolicyActions!A:B,2,FALSE)</f>
        <v>Expansionary monetary policy</v>
      </c>
      <c r="C69" s="7">
        <v>4</v>
      </c>
      <c r="D69" s="7" t="str">
        <f>VLOOKUP(C69,EconomicVariables!A:B,2,FALSE)</f>
        <v>Unemployment Rate</v>
      </c>
      <c r="E69" s="7" t="s">
        <v>50</v>
      </c>
      <c r="F69" s="7" t="s">
        <v>139</v>
      </c>
    </row>
    <row r="70" spans="1:6" x14ac:dyDescent="0.35">
      <c r="A70" s="7">
        <v>9</v>
      </c>
      <c r="B70" s="7" t="str">
        <f>VLOOKUP(A70,PolicyActions!A:B,2,FALSE)</f>
        <v>Expansionary monetary policy</v>
      </c>
      <c r="C70" s="7">
        <v>5</v>
      </c>
      <c r="D70" s="7" t="str">
        <f>VLOOKUP(C70,EconomicVariables!A:B,2,FALSE)</f>
        <v>Money Supply</v>
      </c>
      <c r="E70" s="7" t="s">
        <v>75</v>
      </c>
      <c r="F70" s="7" t="s">
        <v>72</v>
      </c>
    </row>
    <row r="71" spans="1:6" x14ac:dyDescent="0.35">
      <c r="A71" s="7">
        <v>9</v>
      </c>
      <c r="B71" s="7" t="str">
        <f>VLOOKUP(A71,PolicyActions!A:B,2,FALSE)</f>
        <v>Expansionary monetary policy</v>
      </c>
      <c r="C71" s="7">
        <v>6</v>
      </c>
      <c r="D71" s="7" t="str">
        <f>VLOOKUP(C71,EconomicVariables!A:B,2,FALSE)</f>
        <v>Interest Rate</v>
      </c>
      <c r="E71" s="7" t="s">
        <v>74</v>
      </c>
      <c r="F71" s="7" t="s">
        <v>73</v>
      </c>
    </row>
    <row r="72" spans="1:6" x14ac:dyDescent="0.35">
      <c r="A72" s="7">
        <v>9</v>
      </c>
      <c r="B72" s="7" t="str">
        <f>VLOOKUP(A72,PolicyActions!A:B,2,FALSE)</f>
        <v>Expansionary monetary policy</v>
      </c>
      <c r="C72" s="7">
        <v>7</v>
      </c>
      <c r="D72" s="7" t="str">
        <f>VLOOKUP(C72,EconomicVariables!A:B,2,FALSE)</f>
        <v>Bond Price</v>
      </c>
      <c r="E72" s="7" t="s">
        <v>75</v>
      </c>
      <c r="F72" s="7" t="s">
        <v>140</v>
      </c>
    </row>
    <row r="73" spans="1:6" x14ac:dyDescent="0.35">
      <c r="A73" s="7">
        <v>9</v>
      </c>
      <c r="B73" s="7" t="str">
        <f>VLOOKUP(A73,PolicyActions!A:B,2,FALSE)</f>
        <v>Expansionary monetary policy</v>
      </c>
      <c r="C73" s="7">
        <v>8</v>
      </c>
      <c r="D73" s="7" t="str">
        <f>VLOOKUP(C73,EconomicVariables!A:B,2,FALSE)</f>
        <v>Interest-sensitive Private Spending (Investment &amp; Consumption)</v>
      </c>
      <c r="E73" s="7" t="s">
        <v>75</v>
      </c>
      <c r="F73" s="7" t="s">
        <v>141</v>
      </c>
    </row>
    <row r="74" spans="1:6" x14ac:dyDescent="0.35">
      <c r="A74" s="7">
        <v>9</v>
      </c>
      <c r="B74" s="7" t="str">
        <f>VLOOKUP(A74,PolicyActions!A:B,2,FALSE)</f>
        <v>Expansionary monetary policy</v>
      </c>
      <c r="C74" s="7">
        <v>9</v>
      </c>
      <c r="D74" s="7" t="str">
        <f>VLOOKUP(C74,EconomicVariables!A:B,2,FALSE)</f>
        <v>Economic Growth (LRAS, PPC)</v>
      </c>
      <c r="E74" s="7" t="s">
        <v>75</v>
      </c>
      <c r="F74" s="7" t="s">
        <v>142</v>
      </c>
    </row>
    <row r="75" spans="1:6" x14ac:dyDescent="0.35">
      <c r="A75" s="7">
        <v>10</v>
      </c>
      <c r="B75" s="7" t="str">
        <f>VLOOKUP(A75,PolicyActions!A:B,2,FALSE)</f>
        <v>Decrease required reserve ratio</v>
      </c>
      <c r="C75" s="7">
        <v>1</v>
      </c>
      <c r="D75" s="7" t="str">
        <f>VLOOKUP(C75,EconomicVariables!A:B,2,FALSE)</f>
        <v>Aggregate Demand</v>
      </c>
      <c r="E75" s="7" t="s">
        <v>49</v>
      </c>
      <c r="F75" s="7" t="str">
        <f>F66</f>
        <v>Expansionary monetary policy刺激经济，通过降利率，增加interest-sensitive private spending和AD</v>
      </c>
    </row>
    <row r="76" spans="1:6" x14ac:dyDescent="0.35">
      <c r="A76" s="7">
        <v>10</v>
      </c>
      <c r="B76" s="7" t="str">
        <f>VLOOKUP(A76,PolicyActions!A:B,2,FALSE)</f>
        <v>Decrease required reserve ratio</v>
      </c>
      <c r="C76" s="7">
        <v>2</v>
      </c>
      <c r="D76" s="7" t="str">
        <f>VLOOKUP(C76,EconomicVariables!A:B,2,FALSE)</f>
        <v>Price Level</v>
      </c>
      <c r="E76" s="7" t="s">
        <v>49</v>
      </c>
      <c r="F76" s="7" t="str">
        <f t="shared" ref="F76:F83" si="2">F67</f>
        <v>Expansionary monetary policy刺激经济，降利率，增加AD，见AD-AS diagram</v>
      </c>
    </row>
    <row r="77" spans="1:6" x14ac:dyDescent="0.35">
      <c r="A77" s="7">
        <v>10</v>
      </c>
      <c r="B77" s="7" t="str">
        <f>VLOOKUP(A77,PolicyActions!A:B,2,FALSE)</f>
        <v>Decrease required reserve ratio</v>
      </c>
      <c r="C77" s="7">
        <v>3</v>
      </c>
      <c r="D77" s="7" t="str">
        <f>VLOOKUP(C77,EconomicVariables!A:B,2,FALSE)</f>
        <v>Real GDP</v>
      </c>
      <c r="E77" s="7" t="s">
        <v>49</v>
      </c>
      <c r="F77" s="7" t="str">
        <f t="shared" si="2"/>
        <v>Expansionary monetary policy刺激经济，降利率，增加AD，见AD-AS diagram</v>
      </c>
    </row>
    <row r="78" spans="1:6" x14ac:dyDescent="0.35">
      <c r="A78" s="7">
        <v>10</v>
      </c>
      <c r="B78" s="7" t="str">
        <f>VLOOKUP(A78,PolicyActions!A:B,2,FALSE)</f>
        <v>Decrease required reserve ratio</v>
      </c>
      <c r="C78" s="7">
        <v>4</v>
      </c>
      <c r="D78" s="7" t="str">
        <f>VLOOKUP(C78,EconomicVariables!A:B,2,FALSE)</f>
        <v>Unemployment Rate</v>
      </c>
      <c r="E78" s="7" t="s">
        <v>50</v>
      </c>
      <c r="F78" s="7" t="str">
        <f t="shared" si="2"/>
        <v>失业率通常与real GDP反向。（Expansionary monetary policy刺激经济，降利率，增加AD，见AD-AS diagram）</v>
      </c>
    </row>
    <row r="79" spans="1:6" x14ac:dyDescent="0.35">
      <c r="A79" s="7">
        <v>10</v>
      </c>
      <c r="B79" s="7" t="str">
        <f>VLOOKUP(A79,PolicyActions!A:B,2,FALSE)</f>
        <v>Decrease required reserve ratio</v>
      </c>
      <c r="C79" s="7">
        <v>5</v>
      </c>
      <c r="D79" s="7" t="str">
        <f>VLOOKUP(C79,EconomicVariables!A:B,2,FALSE)</f>
        <v>Money Supply</v>
      </c>
      <c r="E79" s="7" t="s">
        <v>75</v>
      </c>
      <c r="F79" s="7" t="str">
        <f t="shared" si="2"/>
        <v>Expansionary monetary policy中buy bonds可增加monetary base，降reserve requirement可提高money multiplier和money supply</v>
      </c>
    </row>
    <row r="80" spans="1:6" x14ac:dyDescent="0.35">
      <c r="A80" s="7">
        <v>10</v>
      </c>
      <c r="B80" s="7" t="str">
        <f>VLOOKUP(A80,PolicyActions!A:B,2,FALSE)</f>
        <v>Decrease required reserve ratio</v>
      </c>
      <c r="C80" s="7">
        <v>6</v>
      </c>
      <c r="D80" s="7" t="str">
        <f>VLOOKUP(C80,EconomicVariables!A:B,2,FALSE)</f>
        <v>Interest Rate</v>
      </c>
      <c r="E80" s="7" t="s">
        <v>74</v>
      </c>
      <c r="F80" s="7" t="str">
        <f t="shared" si="2"/>
        <v>Expansionary monetary policy增加money supply，降利率（见money market diagram &amp; reserve market diagram)</v>
      </c>
    </row>
    <row r="81" spans="1:6" x14ac:dyDescent="0.35">
      <c r="A81" s="7">
        <v>10</v>
      </c>
      <c r="B81" s="7" t="str">
        <f>VLOOKUP(A81,PolicyActions!A:B,2,FALSE)</f>
        <v>Decrease required reserve ratio</v>
      </c>
      <c r="C81" s="7">
        <v>7</v>
      </c>
      <c r="D81" s="7" t="str">
        <f>VLOOKUP(C81,EconomicVariables!A:B,2,FALSE)</f>
        <v>Bond Price</v>
      </c>
      <c r="E81" s="7" t="s">
        <v>75</v>
      </c>
      <c r="F81" s="7" t="str">
        <f t="shared" si="2"/>
        <v>债券价格与利率反向。（Expansionary monetary policy刺激经济，降利率，增加AD）</v>
      </c>
    </row>
    <row r="82" spans="1:6" x14ac:dyDescent="0.35">
      <c r="A82" s="7">
        <v>10</v>
      </c>
      <c r="B82" s="7" t="str">
        <f>VLOOKUP(A82,PolicyActions!A:B,2,FALSE)</f>
        <v>Decrease required reserve ratio</v>
      </c>
      <c r="C82" s="7">
        <v>8</v>
      </c>
      <c r="D82" s="7" t="str">
        <f>VLOOKUP(C82,EconomicVariables!A:B,2,FALSE)</f>
        <v>Interest-sensitive Private Spending (Investment &amp; Consumption)</v>
      </c>
      <c r="E82" s="7" t="s">
        <v>75</v>
      </c>
      <c r="F82" s="7" t="str">
        <f t="shared" si="2"/>
        <v>Interest-sensitive Private Spending (Investment &amp; Consumption)与利率反向。（Expansionary monetary policy刺激经济，降利率，增加AD）</v>
      </c>
    </row>
    <row r="83" spans="1:6" x14ac:dyDescent="0.35">
      <c r="A83" s="7">
        <v>10</v>
      </c>
      <c r="B83" s="7" t="str">
        <f>VLOOKUP(A83,PolicyActions!A:B,2,FALSE)</f>
        <v>Decrease required reserve ratio</v>
      </c>
      <c r="C83" s="7">
        <v>9</v>
      </c>
      <c r="D83" s="7" t="str">
        <f>VLOOKUP(C83,EconomicVariables!A:B,2,FALSE)</f>
        <v>Economic Growth (LRAS, PPC)</v>
      </c>
      <c r="E83" s="7" t="s">
        <v>75</v>
      </c>
      <c r="F83" s="7" t="str">
        <f t="shared" si="2"/>
        <v>Investment与利率反向，长期会影响capital stock资本存量（属于资源数量）和潜在产能。（Expansionary monetary policy刺激经济，降利率，增加AD）</v>
      </c>
    </row>
    <row r="84" spans="1:6" x14ac:dyDescent="0.35">
      <c r="A84" s="7">
        <v>11</v>
      </c>
      <c r="B84" s="7" t="str">
        <f>VLOOKUP(A84,PolicyActions!A:B,2,FALSE)</f>
        <v>Decrease reserve requirement</v>
      </c>
      <c r="C84" s="7">
        <v>1</v>
      </c>
      <c r="D84" s="7" t="str">
        <f>VLOOKUP(C84,EconomicVariables!A:B,2,FALSE)</f>
        <v>Aggregate Demand</v>
      </c>
      <c r="E84" s="7" t="s">
        <v>49</v>
      </c>
      <c r="F84" s="7" t="str">
        <f>F75</f>
        <v>Expansionary monetary policy刺激经济，通过降利率，增加interest-sensitive private spending和AD</v>
      </c>
    </row>
    <row r="85" spans="1:6" x14ac:dyDescent="0.35">
      <c r="A85" s="7">
        <v>11</v>
      </c>
      <c r="B85" s="7" t="str">
        <f>VLOOKUP(A85,PolicyActions!A:B,2,FALSE)</f>
        <v>Decrease reserve requirement</v>
      </c>
      <c r="C85" s="7">
        <v>2</v>
      </c>
      <c r="D85" s="7" t="str">
        <f>VLOOKUP(C85,EconomicVariables!A:B,2,FALSE)</f>
        <v>Price Level</v>
      </c>
      <c r="E85" s="7" t="s">
        <v>49</v>
      </c>
      <c r="F85" s="7" t="str">
        <f>F76</f>
        <v>Expansionary monetary policy刺激经济，降利率，增加AD，见AD-AS diagram</v>
      </c>
    </row>
    <row r="86" spans="1:6" x14ac:dyDescent="0.35">
      <c r="A86" s="7">
        <v>11</v>
      </c>
      <c r="B86" s="7" t="str">
        <f>VLOOKUP(A86,PolicyActions!A:B,2,FALSE)</f>
        <v>Decrease reserve requirement</v>
      </c>
      <c r="C86" s="7">
        <v>3</v>
      </c>
      <c r="D86" s="7" t="str">
        <f>VLOOKUP(C86,EconomicVariables!A:B,2,FALSE)</f>
        <v>Real GDP</v>
      </c>
      <c r="E86" s="7" t="s">
        <v>49</v>
      </c>
      <c r="F86" s="7" t="str">
        <f t="shared" ref="F86:F92" si="3">F77</f>
        <v>Expansionary monetary policy刺激经济，降利率，增加AD，见AD-AS diagram</v>
      </c>
    </row>
    <row r="87" spans="1:6" x14ac:dyDescent="0.35">
      <c r="A87" s="7">
        <v>11</v>
      </c>
      <c r="B87" s="7" t="str">
        <f>VLOOKUP(A87,PolicyActions!A:B,2,FALSE)</f>
        <v>Decrease reserve requirement</v>
      </c>
      <c r="C87" s="7">
        <v>4</v>
      </c>
      <c r="D87" s="7" t="str">
        <f>VLOOKUP(C87,EconomicVariables!A:B,2,FALSE)</f>
        <v>Unemployment Rate</v>
      </c>
      <c r="E87" s="7" t="s">
        <v>50</v>
      </c>
      <c r="F87" s="7" t="str">
        <f t="shared" si="3"/>
        <v>失业率通常与real GDP反向。（Expansionary monetary policy刺激经济，降利率，增加AD，见AD-AS diagram）</v>
      </c>
    </row>
    <row r="88" spans="1:6" x14ac:dyDescent="0.35">
      <c r="A88" s="7">
        <v>11</v>
      </c>
      <c r="B88" s="7" t="str">
        <f>VLOOKUP(A88,PolicyActions!A:B,2,FALSE)</f>
        <v>Decrease reserve requirement</v>
      </c>
      <c r="C88" s="7">
        <v>5</v>
      </c>
      <c r="D88" s="7" t="str">
        <f>VLOOKUP(C88,EconomicVariables!A:B,2,FALSE)</f>
        <v>Money Supply</v>
      </c>
      <c r="E88" s="7" t="s">
        <v>75</v>
      </c>
      <c r="F88" s="7" t="str">
        <f t="shared" si="3"/>
        <v>Expansionary monetary policy中buy bonds可增加monetary base，降reserve requirement可提高money multiplier和money supply</v>
      </c>
    </row>
    <row r="89" spans="1:6" x14ac:dyDescent="0.35">
      <c r="A89" s="7">
        <v>11</v>
      </c>
      <c r="B89" s="7" t="str">
        <f>VLOOKUP(A89,PolicyActions!A:B,2,FALSE)</f>
        <v>Decrease reserve requirement</v>
      </c>
      <c r="C89" s="7">
        <v>6</v>
      </c>
      <c r="D89" s="7" t="str">
        <f>VLOOKUP(C89,EconomicVariables!A:B,2,FALSE)</f>
        <v>Interest Rate</v>
      </c>
      <c r="E89" s="7" t="s">
        <v>74</v>
      </c>
      <c r="F89" s="7" t="str">
        <f t="shared" si="3"/>
        <v>Expansionary monetary policy增加money supply，降利率（见money market diagram &amp; reserve market diagram)</v>
      </c>
    </row>
    <row r="90" spans="1:6" x14ac:dyDescent="0.35">
      <c r="A90" s="7">
        <v>11</v>
      </c>
      <c r="B90" s="7" t="str">
        <f>VLOOKUP(A90,PolicyActions!A:B,2,FALSE)</f>
        <v>Decrease reserve requirement</v>
      </c>
      <c r="C90" s="7">
        <v>7</v>
      </c>
      <c r="D90" s="7" t="str">
        <f>VLOOKUP(C90,EconomicVariables!A:B,2,FALSE)</f>
        <v>Bond Price</v>
      </c>
      <c r="E90" s="7" t="s">
        <v>75</v>
      </c>
      <c r="F90" s="7" t="str">
        <f t="shared" si="3"/>
        <v>债券价格与利率反向。（Expansionary monetary policy刺激经济，降利率，增加AD）</v>
      </c>
    </row>
    <row r="91" spans="1:6" x14ac:dyDescent="0.35">
      <c r="A91" s="7">
        <v>11</v>
      </c>
      <c r="B91" s="7" t="str">
        <f>VLOOKUP(A91,PolicyActions!A:B,2,FALSE)</f>
        <v>Decrease reserve requirement</v>
      </c>
      <c r="C91" s="7">
        <v>8</v>
      </c>
      <c r="D91" s="7" t="str">
        <f>VLOOKUP(C91,EconomicVariables!A:B,2,FALSE)</f>
        <v>Interest-sensitive Private Spending (Investment &amp; Consumption)</v>
      </c>
      <c r="E91" s="7" t="s">
        <v>75</v>
      </c>
      <c r="F91" s="7" t="str">
        <f t="shared" si="3"/>
        <v>Interest-sensitive Private Spending (Investment &amp; Consumption)与利率反向。（Expansionary monetary policy刺激经济，降利率，增加AD）</v>
      </c>
    </row>
    <row r="92" spans="1:6" x14ac:dyDescent="0.35">
      <c r="A92" s="7">
        <v>11</v>
      </c>
      <c r="B92" s="7" t="str">
        <f>VLOOKUP(A92,PolicyActions!A:B,2,FALSE)</f>
        <v>Decrease reserve requirement</v>
      </c>
      <c r="C92" s="7">
        <v>9</v>
      </c>
      <c r="D92" s="7" t="str">
        <f>VLOOKUP(C92,EconomicVariables!A:B,2,FALSE)</f>
        <v>Economic Growth (LRAS, PPC)</v>
      </c>
      <c r="E92" s="7" t="s">
        <v>75</v>
      </c>
      <c r="F92" s="7" t="str">
        <f t="shared" si="3"/>
        <v>Investment与利率反向，长期会影响capital stock资本存量（属于资源数量）和潜在产能。（Expansionary monetary policy刺激经济，降利率，增加AD）</v>
      </c>
    </row>
    <row r="93" spans="1:6" x14ac:dyDescent="0.35">
      <c r="A93" s="7">
        <v>12</v>
      </c>
      <c r="B93" s="7" t="str">
        <f>VLOOKUP(A93,PolicyActions!A:B,2,FALSE)</f>
        <v>Buy government bonds / securities</v>
      </c>
      <c r="C93" s="7">
        <v>1</v>
      </c>
      <c r="D93" s="7" t="str">
        <f>VLOOKUP(C93,EconomicVariables!A:B,2,FALSE)</f>
        <v>Aggregate Demand</v>
      </c>
      <c r="E93" s="7" t="s">
        <v>49</v>
      </c>
      <c r="F93" s="7" t="str">
        <f>F84</f>
        <v>Expansionary monetary policy刺激经济，通过降利率，增加interest-sensitive private spending和AD</v>
      </c>
    </row>
    <row r="94" spans="1:6" x14ac:dyDescent="0.35">
      <c r="A94" s="7">
        <v>12</v>
      </c>
      <c r="B94" s="7" t="str">
        <f>VLOOKUP(A94,PolicyActions!A:B,2,FALSE)</f>
        <v>Buy government bonds / securities</v>
      </c>
      <c r="C94" s="7">
        <v>2</v>
      </c>
      <c r="D94" s="7" t="str">
        <f>VLOOKUP(C94,EconomicVariables!A:B,2,FALSE)</f>
        <v>Price Level</v>
      </c>
      <c r="E94" s="7" t="s">
        <v>49</v>
      </c>
      <c r="F94" s="7" t="str">
        <f t="shared" ref="F94:F101" si="4">F85</f>
        <v>Expansionary monetary policy刺激经济，降利率，增加AD，见AD-AS diagram</v>
      </c>
    </row>
    <row r="95" spans="1:6" x14ac:dyDescent="0.35">
      <c r="A95" s="7">
        <v>12</v>
      </c>
      <c r="B95" s="7" t="str">
        <f>VLOOKUP(A95,PolicyActions!A:B,2,FALSE)</f>
        <v>Buy government bonds / securities</v>
      </c>
      <c r="C95" s="7">
        <v>3</v>
      </c>
      <c r="D95" s="7" t="str">
        <f>VLOOKUP(C95,EconomicVariables!A:B,2,FALSE)</f>
        <v>Real GDP</v>
      </c>
      <c r="E95" s="7" t="s">
        <v>49</v>
      </c>
      <c r="F95" s="7" t="str">
        <f t="shared" si="4"/>
        <v>Expansionary monetary policy刺激经济，降利率，增加AD，见AD-AS diagram</v>
      </c>
    </row>
    <row r="96" spans="1:6" x14ac:dyDescent="0.35">
      <c r="A96" s="7">
        <v>12</v>
      </c>
      <c r="B96" s="7" t="str">
        <f>VLOOKUP(A96,PolicyActions!A:B,2,FALSE)</f>
        <v>Buy government bonds / securities</v>
      </c>
      <c r="C96" s="7">
        <v>4</v>
      </c>
      <c r="D96" s="7" t="str">
        <f>VLOOKUP(C96,EconomicVariables!A:B,2,FALSE)</f>
        <v>Unemployment Rate</v>
      </c>
      <c r="E96" s="7" t="s">
        <v>50</v>
      </c>
      <c r="F96" s="7" t="str">
        <f t="shared" si="4"/>
        <v>失业率通常与real GDP反向。（Expansionary monetary policy刺激经济，降利率，增加AD，见AD-AS diagram）</v>
      </c>
    </row>
    <row r="97" spans="1:6" x14ac:dyDescent="0.35">
      <c r="A97" s="7">
        <v>12</v>
      </c>
      <c r="B97" s="7" t="str">
        <f>VLOOKUP(A97,PolicyActions!A:B,2,FALSE)</f>
        <v>Buy government bonds / securities</v>
      </c>
      <c r="C97" s="7">
        <v>5</v>
      </c>
      <c r="D97" s="7" t="str">
        <f>VLOOKUP(C97,EconomicVariables!A:B,2,FALSE)</f>
        <v>Money Supply</v>
      </c>
      <c r="E97" s="7" t="s">
        <v>75</v>
      </c>
      <c r="F97" s="7" t="str">
        <f t="shared" si="4"/>
        <v>Expansionary monetary policy中buy bonds可增加monetary base，降reserve requirement可提高money multiplier和money supply</v>
      </c>
    </row>
    <row r="98" spans="1:6" x14ac:dyDescent="0.35">
      <c r="A98" s="7">
        <v>12</v>
      </c>
      <c r="B98" s="7" t="str">
        <f>VLOOKUP(A98,PolicyActions!A:B,2,FALSE)</f>
        <v>Buy government bonds / securities</v>
      </c>
      <c r="C98" s="7">
        <v>6</v>
      </c>
      <c r="D98" s="7" t="str">
        <f>VLOOKUP(C98,EconomicVariables!A:B,2,FALSE)</f>
        <v>Interest Rate</v>
      </c>
      <c r="E98" s="7" t="s">
        <v>74</v>
      </c>
      <c r="F98" s="7" t="str">
        <f t="shared" si="4"/>
        <v>Expansionary monetary policy增加money supply，降利率（见money market diagram &amp; reserve market diagram)</v>
      </c>
    </row>
    <row r="99" spans="1:6" x14ac:dyDescent="0.35">
      <c r="A99" s="7">
        <v>12</v>
      </c>
      <c r="B99" s="7" t="str">
        <f>VLOOKUP(A99,PolicyActions!A:B,2,FALSE)</f>
        <v>Buy government bonds / securities</v>
      </c>
      <c r="C99" s="7">
        <v>7</v>
      </c>
      <c r="D99" s="7" t="str">
        <f>VLOOKUP(C99,EconomicVariables!A:B,2,FALSE)</f>
        <v>Bond Price</v>
      </c>
      <c r="E99" s="7" t="s">
        <v>75</v>
      </c>
      <c r="F99" s="7" t="str">
        <f t="shared" si="4"/>
        <v>债券价格与利率反向。（Expansionary monetary policy刺激经济，降利率，增加AD）</v>
      </c>
    </row>
    <row r="100" spans="1:6" x14ac:dyDescent="0.35">
      <c r="A100" s="7">
        <v>12</v>
      </c>
      <c r="B100" s="7" t="str">
        <f>VLOOKUP(A100,PolicyActions!A:B,2,FALSE)</f>
        <v>Buy government bonds / securities</v>
      </c>
      <c r="C100" s="7">
        <v>8</v>
      </c>
      <c r="D100" s="7" t="str">
        <f>VLOOKUP(C100,EconomicVariables!A:B,2,FALSE)</f>
        <v>Interest-sensitive Private Spending (Investment &amp; Consumption)</v>
      </c>
      <c r="E100" s="7" t="s">
        <v>75</v>
      </c>
      <c r="F100" s="7" t="str">
        <f t="shared" si="4"/>
        <v>Interest-sensitive Private Spending (Investment &amp; Consumption)与利率反向。（Expansionary monetary policy刺激经济，降利率，增加AD）</v>
      </c>
    </row>
    <row r="101" spans="1:6" x14ac:dyDescent="0.35">
      <c r="A101" s="7">
        <v>12</v>
      </c>
      <c r="B101" s="7" t="str">
        <f>VLOOKUP(A101,PolicyActions!A:B,2,FALSE)</f>
        <v>Buy government bonds / securities</v>
      </c>
      <c r="C101" s="7">
        <v>9</v>
      </c>
      <c r="D101" s="7" t="str">
        <f>VLOOKUP(C101,EconomicVariables!A:B,2,FALSE)</f>
        <v>Economic Growth (LRAS, PPC)</v>
      </c>
      <c r="E101" s="7" t="s">
        <v>75</v>
      </c>
      <c r="F101" s="7" t="str">
        <f t="shared" si="4"/>
        <v>Investment与利率反向，长期会影响capital stock资本存量（属于资源数量）和潜在产能。（Expansionary monetary policy刺激经济，降利率，增加AD）</v>
      </c>
    </row>
    <row r="102" spans="1:6" x14ac:dyDescent="0.35">
      <c r="A102" s="7">
        <v>13</v>
      </c>
      <c r="B102" s="7" t="str">
        <f>VLOOKUP(A102,PolicyActions!A:B,2,FALSE)</f>
        <v>Buy Treasury bonds / bills</v>
      </c>
      <c r="C102" s="7">
        <v>1</v>
      </c>
      <c r="D102" s="7" t="str">
        <f>VLOOKUP(C102,EconomicVariables!A:B,2,FALSE)</f>
        <v>Aggregate Demand</v>
      </c>
      <c r="E102" s="7" t="s">
        <v>49</v>
      </c>
      <c r="F102" s="7" t="str">
        <f>F93</f>
        <v>Expansionary monetary policy刺激经济，通过降利率，增加interest-sensitive private spending和AD</v>
      </c>
    </row>
    <row r="103" spans="1:6" x14ac:dyDescent="0.35">
      <c r="A103" s="7">
        <v>13</v>
      </c>
      <c r="B103" s="7" t="str">
        <f>VLOOKUP(A103,PolicyActions!A:B,2,FALSE)</f>
        <v>Buy Treasury bonds / bills</v>
      </c>
      <c r="C103" s="7">
        <v>2</v>
      </c>
      <c r="D103" s="7" t="str">
        <f>VLOOKUP(C103,EconomicVariables!A:B,2,FALSE)</f>
        <v>Price Level</v>
      </c>
      <c r="E103" s="7" t="s">
        <v>49</v>
      </c>
      <c r="F103" s="7" t="str">
        <f t="shared" ref="F103:F110" si="5">F94</f>
        <v>Expansionary monetary policy刺激经济，降利率，增加AD，见AD-AS diagram</v>
      </c>
    </row>
    <row r="104" spans="1:6" x14ac:dyDescent="0.35">
      <c r="A104" s="7">
        <v>13</v>
      </c>
      <c r="B104" s="7" t="str">
        <f>VLOOKUP(A104,PolicyActions!A:B,2,FALSE)</f>
        <v>Buy Treasury bonds / bills</v>
      </c>
      <c r="C104" s="7">
        <v>3</v>
      </c>
      <c r="D104" s="7" t="str">
        <f>VLOOKUP(C104,EconomicVariables!A:B,2,FALSE)</f>
        <v>Real GDP</v>
      </c>
      <c r="E104" s="7" t="s">
        <v>49</v>
      </c>
      <c r="F104" s="7" t="str">
        <f t="shared" si="5"/>
        <v>Expansionary monetary policy刺激经济，降利率，增加AD，见AD-AS diagram</v>
      </c>
    </row>
    <row r="105" spans="1:6" x14ac:dyDescent="0.35">
      <c r="A105" s="7">
        <v>13</v>
      </c>
      <c r="B105" s="7" t="str">
        <f>VLOOKUP(A105,PolicyActions!A:B,2,FALSE)</f>
        <v>Buy Treasury bonds / bills</v>
      </c>
      <c r="C105" s="7">
        <v>4</v>
      </c>
      <c r="D105" s="7" t="str">
        <f>VLOOKUP(C105,EconomicVariables!A:B,2,FALSE)</f>
        <v>Unemployment Rate</v>
      </c>
      <c r="E105" s="7" t="s">
        <v>50</v>
      </c>
      <c r="F105" s="7" t="str">
        <f t="shared" si="5"/>
        <v>失业率通常与real GDP反向。（Expansionary monetary policy刺激经济，降利率，增加AD，见AD-AS diagram）</v>
      </c>
    </row>
    <row r="106" spans="1:6" x14ac:dyDescent="0.35">
      <c r="A106" s="7">
        <v>13</v>
      </c>
      <c r="B106" s="7" t="str">
        <f>VLOOKUP(A106,PolicyActions!A:B,2,FALSE)</f>
        <v>Buy Treasury bonds / bills</v>
      </c>
      <c r="C106" s="7">
        <v>5</v>
      </c>
      <c r="D106" s="7" t="str">
        <f>VLOOKUP(C106,EconomicVariables!A:B,2,FALSE)</f>
        <v>Money Supply</v>
      </c>
      <c r="E106" s="7" t="s">
        <v>75</v>
      </c>
      <c r="F106" s="7" t="str">
        <f t="shared" si="5"/>
        <v>Expansionary monetary policy中buy bonds可增加monetary base，降reserve requirement可提高money multiplier和money supply</v>
      </c>
    </row>
    <row r="107" spans="1:6" x14ac:dyDescent="0.35">
      <c r="A107" s="7">
        <v>13</v>
      </c>
      <c r="B107" s="7" t="str">
        <f>VLOOKUP(A107,PolicyActions!A:B,2,FALSE)</f>
        <v>Buy Treasury bonds / bills</v>
      </c>
      <c r="C107" s="7">
        <v>6</v>
      </c>
      <c r="D107" s="7" t="str">
        <f>VLOOKUP(C107,EconomicVariables!A:B,2,FALSE)</f>
        <v>Interest Rate</v>
      </c>
      <c r="E107" s="7" t="s">
        <v>74</v>
      </c>
      <c r="F107" s="7" t="str">
        <f t="shared" si="5"/>
        <v>Expansionary monetary policy增加money supply，降利率（见money market diagram &amp; reserve market diagram)</v>
      </c>
    </row>
    <row r="108" spans="1:6" x14ac:dyDescent="0.35">
      <c r="A108" s="7">
        <v>13</v>
      </c>
      <c r="B108" s="7" t="str">
        <f>VLOOKUP(A108,PolicyActions!A:B,2,FALSE)</f>
        <v>Buy Treasury bonds / bills</v>
      </c>
      <c r="C108" s="7">
        <v>7</v>
      </c>
      <c r="D108" s="7" t="str">
        <f>VLOOKUP(C108,EconomicVariables!A:B,2,FALSE)</f>
        <v>Bond Price</v>
      </c>
      <c r="E108" s="7" t="s">
        <v>75</v>
      </c>
      <c r="F108" s="7" t="str">
        <f t="shared" si="5"/>
        <v>债券价格与利率反向。（Expansionary monetary policy刺激经济，降利率，增加AD）</v>
      </c>
    </row>
    <row r="109" spans="1:6" x14ac:dyDescent="0.35">
      <c r="A109" s="7">
        <v>13</v>
      </c>
      <c r="B109" s="7" t="str">
        <f>VLOOKUP(A109,PolicyActions!A:B,2,FALSE)</f>
        <v>Buy Treasury bonds / bills</v>
      </c>
      <c r="C109" s="7">
        <v>8</v>
      </c>
      <c r="D109" s="7" t="str">
        <f>VLOOKUP(C109,EconomicVariables!A:B,2,FALSE)</f>
        <v>Interest-sensitive Private Spending (Investment &amp; Consumption)</v>
      </c>
      <c r="E109" s="7" t="s">
        <v>75</v>
      </c>
      <c r="F109" s="7" t="str">
        <f t="shared" si="5"/>
        <v>Interest-sensitive Private Spending (Investment &amp; Consumption)与利率反向。（Expansionary monetary policy刺激经济，降利率，增加AD）</v>
      </c>
    </row>
    <row r="110" spans="1:6" x14ac:dyDescent="0.35">
      <c r="A110" s="7">
        <v>13</v>
      </c>
      <c r="B110" s="7" t="str">
        <f>VLOOKUP(A110,PolicyActions!A:B,2,FALSE)</f>
        <v>Buy Treasury bonds / bills</v>
      </c>
      <c r="C110" s="7">
        <v>9</v>
      </c>
      <c r="D110" s="7" t="str">
        <f>VLOOKUP(C110,EconomicVariables!A:B,2,FALSE)</f>
        <v>Economic Growth (LRAS, PPC)</v>
      </c>
      <c r="E110" s="7" t="s">
        <v>75</v>
      </c>
      <c r="F110" s="7" t="str">
        <f t="shared" si="5"/>
        <v>Investment与利率反向，长期会影响capital stock资本存量（属于资源数量）和潜在产能。（Expansionary monetary policy刺激经济，降利率，增加AD）</v>
      </c>
    </row>
    <row r="111" spans="1:6" x14ac:dyDescent="0.35">
      <c r="A111" s="7">
        <v>14</v>
      </c>
      <c r="B111" s="7" t="str">
        <f>VLOOKUP(A111,PolicyActions!A:B,2,FALSE)</f>
        <v>Open market purchase of bonds</v>
      </c>
      <c r="C111" s="7">
        <v>1</v>
      </c>
      <c r="D111" s="7" t="str">
        <f>VLOOKUP(C111,EconomicVariables!A:B,2,FALSE)</f>
        <v>Aggregate Demand</v>
      </c>
      <c r="E111" s="7" t="s">
        <v>49</v>
      </c>
      <c r="F111" s="7" t="str">
        <f>F102</f>
        <v>Expansionary monetary policy刺激经济，通过降利率，增加interest-sensitive private spending和AD</v>
      </c>
    </row>
    <row r="112" spans="1:6" x14ac:dyDescent="0.35">
      <c r="A112" s="7">
        <v>14</v>
      </c>
      <c r="B112" s="7" t="str">
        <f>VLOOKUP(A112,PolicyActions!A:B,2,FALSE)</f>
        <v>Open market purchase of bonds</v>
      </c>
      <c r="C112" s="7">
        <v>2</v>
      </c>
      <c r="D112" s="7" t="str">
        <f>VLOOKUP(C112,EconomicVariables!A:B,2,FALSE)</f>
        <v>Price Level</v>
      </c>
      <c r="E112" s="7" t="s">
        <v>49</v>
      </c>
      <c r="F112" s="7" t="str">
        <f t="shared" ref="F112:F119" si="6">F103</f>
        <v>Expansionary monetary policy刺激经济，降利率，增加AD，见AD-AS diagram</v>
      </c>
    </row>
    <row r="113" spans="1:6" x14ac:dyDescent="0.35">
      <c r="A113" s="7">
        <v>14</v>
      </c>
      <c r="B113" s="7" t="str">
        <f>VLOOKUP(A113,PolicyActions!A:B,2,FALSE)</f>
        <v>Open market purchase of bonds</v>
      </c>
      <c r="C113" s="7">
        <v>3</v>
      </c>
      <c r="D113" s="7" t="str">
        <f>VLOOKUP(C113,EconomicVariables!A:B,2,FALSE)</f>
        <v>Real GDP</v>
      </c>
      <c r="E113" s="7" t="s">
        <v>49</v>
      </c>
      <c r="F113" s="7" t="str">
        <f t="shared" si="6"/>
        <v>Expansionary monetary policy刺激经济，降利率，增加AD，见AD-AS diagram</v>
      </c>
    </row>
    <row r="114" spans="1:6" x14ac:dyDescent="0.35">
      <c r="A114" s="7">
        <v>14</v>
      </c>
      <c r="B114" s="7" t="str">
        <f>VLOOKUP(A114,PolicyActions!A:B,2,FALSE)</f>
        <v>Open market purchase of bonds</v>
      </c>
      <c r="C114" s="7">
        <v>4</v>
      </c>
      <c r="D114" s="7" t="str">
        <f>VLOOKUP(C114,EconomicVariables!A:B,2,FALSE)</f>
        <v>Unemployment Rate</v>
      </c>
      <c r="E114" s="7" t="s">
        <v>50</v>
      </c>
      <c r="F114" s="7" t="str">
        <f t="shared" si="6"/>
        <v>失业率通常与real GDP反向。（Expansionary monetary policy刺激经济，降利率，增加AD，见AD-AS diagram）</v>
      </c>
    </row>
    <row r="115" spans="1:6" x14ac:dyDescent="0.35">
      <c r="A115" s="7">
        <v>14</v>
      </c>
      <c r="B115" s="7" t="str">
        <f>VLOOKUP(A115,PolicyActions!A:B,2,FALSE)</f>
        <v>Open market purchase of bonds</v>
      </c>
      <c r="C115" s="7">
        <v>5</v>
      </c>
      <c r="D115" s="7" t="str">
        <f>VLOOKUP(C115,EconomicVariables!A:B,2,FALSE)</f>
        <v>Money Supply</v>
      </c>
      <c r="E115" s="7" t="s">
        <v>75</v>
      </c>
      <c r="F115" s="7" t="str">
        <f t="shared" si="6"/>
        <v>Expansionary monetary policy中buy bonds可增加monetary base，降reserve requirement可提高money multiplier和money supply</v>
      </c>
    </row>
    <row r="116" spans="1:6" x14ac:dyDescent="0.35">
      <c r="A116" s="7">
        <v>14</v>
      </c>
      <c r="B116" s="7" t="str">
        <f>VLOOKUP(A116,PolicyActions!A:B,2,FALSE)</f>
        <v>Open market purchase of bonds</v>
      </c>
      <c r="C116" s="7">
        <v>6</v>
      </c>
      <c r="D116" s="7" t="str">
        <f>VLOOKUP(C116,EconomicVariables!A:B,2,FALSE)</f>
        <v>Interest Rate</v>
      </c>
      <c r="E116" s="7" t="s">
        <v>74</v>
      </c>
      <c r="F116" s="7" t="str">
        <f t="shared" si="6"/>
        <v>Expansionary monetary policy增加money supply，降利率（见money market diagram &amp; reserve market diagram)</v>
      </c>
    </row>
    <row r="117" spans="1:6" x14ac:dyDescent="0.35">
      <c r="A117" s="7">
        <v>14</v>
      </c>
      <c r="B117" s="7" t="str">
        <f>VLOOKUP(A117,PolicyActions!A:B,2,FALSE)</f>
        <v>Open market purchase of bonds</v>
      </c>
      <c r="C117" s="7">
        <v>7</v>
      </c>
      <c r="D117" s="7" t="str">
        <f>VLOOKUP(C117,EconomicVariables!A:B,2,FALSE)</f>
        <v>Bond Price</v>
      </c>
      <c r="E117" s="7" t="s">
        <v>75</v>
      </c>
      <c r="F117" s="7" t="str">
        <f t="shared" si="6"/>
        <v>债券价格与利率反向。（Expansionary monetary policy刺激经济，降利率，增加AD）</v>
      </c>
    </row>
    <row r="118" spans="1:6" x14ac:dyDescent="0.35">
      <c r="A118" s="7">
        <v>14</v>
      </c>
      <c r="B118" s="7" t="str">
        <f>VLOOKUP(A118,PolicyActions!A:B,2,FALSE)</f>
        <v>Open market purchase of bonds</v>
      </c>
      <c r="C118" s="7">
        <v>8</v>
      </c>
      <c r="D118" s="7" t="str">
        <f>VLOOKUP(C118,EconomicVariables!A:B,2,FALSE)</f>
        <v>Interest-sensitive Private Spending (Investment &amp; Consumption)</v>
      </c>
      <c r="E118" s="7" t="s">
        <v>75</v>
      </c>
      <c r="F118" s="7" t="str">
        <f t="shared" si="6"/>
        <v>Interest-sensitive Private Spending (Investment &amp; Consumption)与利率反向。（Expansionary monetary policy刺激经济，降利率，增加AD）</v>
      </c>
    </row>
    <row r="119" spans="1:6" x14ac:dyDescent="0.35">
      <c r="A119" s="7">
        <v>14</v>
      </c>
      <c r="B119" s="7" t="str">
        <f>VLOOKUP(A119,PolicyActions!A:B,2,FALSE)</f>
        <v>Open market purchase of bonds</v>
      </c>
      <c r="C119" s="7">
        <v>9</v>
      </c>
      <c r="D119" s="7" t="str">
        <f>VLOOKUP(C119,EconomicVariables!A:B,2,FALSE)</f>
        <v>Economic Growth (LRAS, PPC)</v>
      </c>
      <c r="E119" s="7" t="s">
        <v>75</v>
      </c>
      <c r="F119" s="7" t="str">
        <f t="shared" si="6"/>
        <v>Investment与利率反向，长期会影响capital stock资本存量（属于资源数量）和潜在产能。（Expansionary monetary policy刺激经济，降利率，增加AD）</v>
      </c>
    </row>
    <row r="120" spans="1:6" x14ac:dyDescent="0.35">
      <c r="A120" s="7">
        <v>15</v>
      </c>
      <c r="B120" s="7" t="str">
        <f>VLOOKUP(A120,PolicyActions!A:B,2,FALSE)</f>
        <v>Decrease discount rate</v>
      </c>
      <c r="C120" s="7">
        <v>1</v>
      </c>
      <c r="D120" s="7" t="str">
        <f>VLOOKUP(C120,EconomicVariables!A:B,2,FALSE)</f>
        <v>Aggregate Demand</v>
      </c>
      <c r="E120" s="7" t="s">
        <v>49</v>
      </c>
      <c r="F120" s="7" t="str">
        <f>F111</f>
        <v>Expansionary monetary policy刺激经济，通过降利率，增加interest-sensitive private spending和AD</v>
      </c>
    </row>
    <row r="121" spans="1:6" x14ac:dyDescent="0.35">
      <c r="A121" s="7">
        <v>15</v>
      </c>
      <c r="B121" s="7" t="str">
        <f>VLOOKUP(A121,PolicyActions!A:B,2,FALSE)</f>
        <v>Decrease discount rate</v>
      </c>
      <c r="C121" s="7">
        <v>2</v>
      </c>
      <c r="D121" s="7" t="str">
        <f>VLOOKUP(C121,EconomicVariables!A:B,2,FALSE)</f>
        <v>Price Level</v>
      </c>
      <c r="E121" s="7" t="s">
        <v>49</v>
      </c>
      <c r="F121" s="7" t="str">
        <f t="shared" ref="F121:F124" si="7">F112</f>
        <v>Expansionary monetary policy刺激经济，降利率，增加AD，见AD-AS diagram</v>
      </c>
    </row>
    <row r="122" spans="1:6" x14ac:dyDescent="0.35">
      <c r="A122" s="7">
        <v>15</v>
      </c>
      <c r="B122" s="7" t="str">
        <f>VLOOKUP(A122,PolicyActions!A:B,2,FALSE)</f>
        <v>Decrease discount rate</v>
      </c>
      <c r="C122" s="7">
        <v>3</v>
      </c>
      <c r="D122" s="7" t="str">
        <f>VLOOKUP(C122,EconomicVariables!A:B,2,FALSE)</f>
        <v>Real GDP</v>
      </c>
      <c r="E122" s="7" t="s">
        <v>49</v>
      </c>
      <c r="F122" s="7" t="str">
        <f t="shared" si="7"/>
        <v>Expansionary monetary policy刺激经济，降利率，增加AD，见AD-AS diagram</v>
      </c>
    </row>
    <row r="123" spans="1:6" x14ac:dyDescent="0.35">
      <c r="A123" s="7">
        <v>15</v>
      </c>
      <c r="B123" s="7" t="str">
        <f>VLOOKUP(A123,PolicyActions!A:B,2,FALSE)</f>
        <v>Decrease discount rate</v>
      </c>
      <c r="C123" s="7">
        <v>4</v>
      </c>
      <c r="D123" s="7" t="str">
        <f>VLOOKUP(C123,EconomicVariables!A:B,2,FALSE)</f>
        <v>Unemployment Rate</v>
      </c>
      <c r="E123" s="7" t="s">
        <v>50</v>
      </c>
      <c r="F123" s="7" t="str">
        <f t="shared" si="7"/>
        <v>失业率通常与real GDP反向。（Expansionary monetary policy刺激经济，降利率，增加AD，见AD-AS diagram）</v>
      </c>
    </row>
    <row r="124" spans="1:6" x14ac:dyDescent="0.35">
      <c r="A124" s="7">
        <v>15</v>
      </c>
      <c r="B124" s="7" t="str">
        <f>VLOOKUP(A124,PolicyActions!A:B,2,FALSE)</f>
        <v>Decrease discount rate</v>
      </c>
      <c r="C124" s="7">
        <v>6</v>
      </c>
      <c r="D124" s="7" t="str">
        <f>VLOOKUP(C124,EconomicVariables!A:B,2,FALSE)</f>
        <v>Interest Rate</v>
      </c>
      <c r="E124" s="7" t="s">
        <v>74</v>
      </c>
      <c r="F124" s="9" t="s">
        <v>143</v>
      </c>
    </row>
    <row r="125" spans="1:6" x14ac:dyDescent="0.35">
      <c r="A125" s="7">
        <v>15</v>
      </c>
      <c r="B125" s="7" t="str">
        <f>VLOOKUP(A125,PolicyActions!A:B,2,FALSE)</f>
        <v>Decrease discount rate</v>
      </c>
      <c r="C125" s="7">
        <v>7</v>
      </c>
      <c r="D125" s="7" t="str">
        <f>VLOOKUP(C125,EconomicVariables!A:B,2,FALSE)</f>
        <v>Bond Price</v>
      </c>
      <c r="E125" s="7" t="s">
        <v>75</v>
      </c>
      <c r="F125" s="7" t="str">
        <f>F117</f>
        <v>债券价格与利率反向。（Expansionary monetary policy刺激经济，降利率，增加AD）</v>
      </c>
    </row>
    <row r="126" spans="1:6" x14ac:dyDescent="0.35">
      <c r="A126" s="7">
        <v>15</v>
      </c>
      <c r="B126" s="7" t="str">
        <f>VLOOKUP(A126,PolicyActions!A:B,2,FALSE)</f>
        <v>Decrease discount rate</v>
      </c>
      <c r="C126" s="7">
        <v>8</v>
      </c>
      <c r="D126" s="7" t="str">
        <f>VLOOKUP(C126,EconomicVariables!A:B,2,FALSE)</f>
        <v>Interest-sensitive Private Spending (Investment &amp; Consumption)</v>
      </c>
      <c r="E126" s="7" t="s">
        <v>75</v>
      </c>
      <c r="F126" s="7" t="str">
        <f>F118</f>
        <v>Interest-sensitive Private Spending (Investment &amp; Consumption)与利率反向。（Expansionary monetary policy刺激经济，降利率，增加AD）</v>
      </c>
    </row>
    <row r="127" spans="1:6" x14ac:dyDescent="0.35">
      <c r="A127" s="7">
        <v>15</v>
      </c>
      <c r="B127" s="7" t="str">
        <f>VLOOKUP(A127,PolicyActions!A:B,2,FALSE)</f>
        <v>Decrease discount rate</v>
      </c>
      <c r="C127" s="7">
        <v>9</v>
      </c>
      <c r="D127" s="7" t="str">
        <f>VLOOKUP(C127,EconomicVariables!A:B,2,FALSE)</f>
        <v>Economic Growth (LRAS, PPC)</v>
      </c>
      <c r="E127" s="7" t="s">
        <v>75</v>
      </c>
      <c r="F127" s="7" t="str">
        <f>F119</f>
        <v>Investment与利率反向，长期会影响capital stock资本存量（属于资源数量）和潜在产能。（Expansionary monetary policy刺激经济，降利率，增加AD）</v>
      </c>
    </row>
    <row r="128" spans="1:6" x14ac:dyDescent="0.35">
      <c r="A128" s="7">
        <v>16</v>
      </c>
      <c r="B128" s="7" t="str">
        <f>VLOOKUP(A128,PolicyActions!A:B,2,FALSE)</f>
        <v>Decrease interest on reserves</v>
      </c>
      <c r="C128" s="7">
        <v>1</v>
      </c>
      <c r="D128" s="7" t="str">
        <f>VLOOKUP(C128,EconomicVariables!A:B,2,FALSE)</f>
        <v>Aggregate Demand</v>
      </c>
      <c r="E128" s="7" t="s">
        <v>49</v>
      </c>
      <c r="F128" s="7" t="str">
        <f>F120</f>
        <v>Expansionary monetary policy刺激经济，通过降利率，增加interest-sensitive private spending和AD</v>
      </c>
    </row>
    <row r="129" spans="1:6" x14ac:dyDescent="0.35">
      <c r="A129" s="7">
        <v>16</v>
      </c>
      <c r="B129" s="7" t="str">
        <f>VLOOKUP(A129,PolicyActions!A:B,2,FALSE)</f>
        <v>Decrease interest on reserves</v>
      </c>
      <c r="C129" s="7">
        <v>2</v>
      </c>
      <c r="D129" s="7" t="str">
        <f>VLOOKUP(C129,EconomicVariables!A:B,2,FALSE)</f>
        <v>Price Level</v>
      </c>
      <c r="E129" s="7" t="s">
        <v>49</v>
      </c>
      <c r="F129" s="7" t="str">
        <f>F121</f>
        <v>Expansionary monetary policy刺激经济，降利率，增加AD，见AD-AS diagram</v>
      </c>
    </row>
    <row r="130" spans="1:6" x14ac:dyDescent="0.35">
      <c r="A130" s="7">
        <v>16</v>
      </c>
      <c r="B130" s="7" t="str">
        <f>VLOOKUP(A130,PolicyActions!A:B,2,FALSE)</f>
        <v>Decrease interest on reserves</v>
      </c>
      <c r="C130" s="7">
        <v>3</v>
      </c>
      <c r="D130" s="7" t="str">
        <f>VLOOKUP(C130,EconomicVariables!A:B,2,FALSE)</f>
        <v>Real GDP</v>
      </c>
      <c r="E130" s="7" t="s">
        <v>49</v>
      </c>
      <c r="F130" s="7" t="str">
        <f>F122</f>
        <v>Expansionary monetary policy刺激经济，降利率，增加AD，见AD-AS diagram</v>
      </c>
    </row>
    <row r="131" spans="1:6" x14ac:dyDescent="0.35">
      <c r="A131" s="7">
        <v>16</v>
      </c>
      <c r="B131" s="7" t="str">
        <f>VLOOKUP(A131,PolicyActions!A:B,2,FALSE)</f>
        <v>Decrease interest on reserves</v>
      </c>
      <c r="C131" s="7">
        <v>4</v>
      </c>
      <c r="D131" s="7" t="str">
        <f>VLOOKUP(C131,EconomicVariables!A:B,2,FALSE)</f>
        <v>Unemployment Rate</v>
      </c>
      <c r="E131" s="7" t="s">
        <v>50</v>
      </c>
      <c r="F131" s="7" t="str">
        <f>F123</f>
        <v>失业率通常与real GDP反向。（Expansionary monetary policy刺激经济，降利率，增加AD，见AD-AS diagram）</v>
      </c>
    </row>
    <row r="132" spans="1:6" x14ac:dyDescent="0.35">
      <c r="A132" s="7">
        <v>16</v>
      </c>
      <c r="B132" s="7" t="str">
        <f>VLOOKUP(A132,PolicyActions!A:B,2,FALSE)</f>
        <v>Decrease interest on reserves</v>
      </c>
      <c r="C132" s="7">
        <v>6</v>
      </c>
      <c r="D132" s="7" t="str">
        <f>VLOOKUP(C132,EconomicVariables!A:B,2,FALSE)</f>
        <v>Interest Rate</v>
      </c>
      <c r="E132" s="7" t="s">
        <v>74</v>
      </c>
      <c r="F132" s="7" t="str">
        <f>F124</f>
        <v>Expansionary monetary policy降利率。Discount rate（federal funds rate上限）和IOR（federal funds rate下限）属于administered interest rate，央行可直接设定，用于调控市场利率的基准federal funds rate（见reserve market diagram)。 这三者都属于policy rate。</v>
      </c>
    </row>
    <row r="133" spans="1:6" x14ac:dyDescent="0.35">
      <c r="A133" s="7">
        <v>16</v>
      </c>
      <c r="B133" s="7" t="str">
        <f>VLOOKUP(A133,PolicyActions!A:B,2,FALSE)</f>
        <v>Decrease interest on reserves</v>
      </c>
      <c r="C133" s="7">
        <v>7</v>
      </c>
      <c r="D133" s="7" t="str">
        <f>VLOOKUP(C133,EconomicVariables!A:B,2,FALSE)</f>
        <v>Bond Price</v>
      </c>
      <c r="E133" s="7" t="s">
        <v>75</v>
      </c>
      <c r="F133" s="7" t="str">
        <f>F125</f>
        <v>债券价格与利率反向。（Expansionary monetary policy刺激经济，降利率，增加AD）</v>
      </c>
    </row>
    <row r="134" spans="1:6" x14ac:dyDescent="0.35">
      <c r="A134" s="7">
        <v>16</v>
      </c>
      <c r="B134" s="7" t="str">
        <f>VLOOKUP(A134,PolicyActions!A:B,2,FALSE)</f>
        <v>Decrease interest on reserves</v>
      </c>
      <c r="C134" s="7">
        <v>8</v>
      </c>
      <c r="D134" s="7" t="str">
        <f>VLOOKUP(C134,EconomicVariables!A:B,2,FALSE)</f>
        <v>Interest-sensitive Private Spending (Investment &amp; Consumption)</v>
      </c>
      <c r="E134" s="7" t="s">
        <v>75</v>
      </c>
      <c r="F134" s="7" t="str">
        <f>F126</f>
        <v>Interest-sensitive Private Spending (Investment &amp; Consumption)与利率反向。（Expansionary monetary policy刺激经济，降利率，增加AD）</v>
      </c>
    </row>
    <row r="135" spans="1:6" x14ac:dyDescent="0.35">
      <c r="A135" s="7">
        <v>16</v>
      </c>
      <c r="B135" s="7" t="str">
        <f>VLOOKUP(A135,PolicyActions!A:B,2,FALSE)</f>
        <v>Decrease interest on reserves</v>
      </c>
      <c r="C135" s="7">
        <v>9</v>
      </c>
      <c r="D135" s="7" t="str">
        <f>VLOOKUP(C135,EconomicVariables!A:B,2,FALSE)</f>
        <v>Economic Growth (LRAS, PPC)</v>
      </c>
      <c r="E135" s="7" t="s">
        <v>75</v>
      </c>
      <c r="F135" s="7" t="str">
        <f>F127</f>
        <v>Investment与利率反向，长期会影响capital stock资本存量（属于资源数量）和潜在产能。（Expansionary monetary policy刺激经济，降利率，增加AD）</v>
      </c>
    </row>
    <row r="136" spans="1:6" x14ac:dyDescent="0.35">
      <c r="A136" s="7">
        <v>17</v>
      </c>
      <c r="B136" s="7" t="str">
        <f>VLOOKUP(A136,PolicyActions!A:B,2,FALSE)</f>
        <v>Decrease administered interest rates</v>
      </c>
      <c r="C136" s="7">
        <v>1</v>
      </c>
      <c r="D136" s="7" t="str">
        <f>VLOOKUP(C136,EconomicVariables!A:B,2,FALSE)</f>
        <v>Aggregate Demand</v>
      </c>
      <c r="E136" s="7" t="s">
        <v>49</v>
      </c>
      <c r="F136" s="7" t="str">
        <f>F128</f>
        <v>Expansionary monetary policy刺激经济，通过降利率，增加interest-sensitive private spending和AD</v>
      </c>
    </row>
    <row r="137" spans="1:6" x14ac:dyDescent="0.35">
      <c r="A137" s="7">
        <v>17</v>
      </c>
      <c r="B137" s="7" t="str">
        <f>VLOOKUP(A137,PolicyActions!A:B,2,FALSE)</f>
        <v>Decrease administered interest rates</v>
      </c>
      <c r="C137" s="7">
        <v>2</v>
      </c>
      <c r="D137" s="7" t="str">
        <f>VLOOKUP(C137,EconomicVariables!A:B,2,FALSE)</f>
        <v>Price Level</v>
      </c>
      <c r="E137" s="7" t="s">
        <v>49</v>
      </c>
      <c r="F137" s="7" t="str">
        <f>F129</f>
        <v>Expansionary monetary policy刺激经济，降利率，增加AD，见AD-AS diagram</v>
      </c>
    </row>
    <row r="138" spans="1:6" x14ac:dyDescent="0.35">
      <c r="A138" s="7">
        <v>17</v>
      </c>
      <c r="B138" s="7" t="str">
        <f>VLOOKUP(A138,PolicyActions!A:B,2,FALSE)</f>
        <v>Decrease administered interest rates</v>
      </c>
      <c r="C138" s="7">
        <v>3</v>
      </c>
      <c r="D138" s="7" t="str">
        <f>VLOOKUP(C138,EconomicVariables!A:B,2,FALSE)</f>
        <v>Real GDP</v>
      </c>
      <c r="E138" s="7" t="s">
        <v>49</v>
      </c>
      <c r="F138" s="7" t="str">
        <f>F130</f>
        <v>Expansionary monetary policy刺激经济，降利率，增加AD，见AD-AS diagram</v>
      </c>
    </row>
    <row r="139" spans="1:6" x14ac:dyDescent="0.35">
      <c r="A139" s="7">
        <v>17</v>
      </c>
      <c r="B139" s="7" t="str">
        <f>VLOOKUP(A139,PolicyActions!A:B,2,FALSE)</f>
        <v>Decrease administered interest rates</v>
      </c>
      <c r="C139" s="7">
        <v>4</v>
      </c>
      <c r="D139" s="7" t="str">
        <f>VLOOKUP(C139,EconomicVariables!A:B,2,FALSE)</f>
        <v>Unemployment Rate</v>
      </c>
      <c r="E139" s="7" t="s">
        <v>50</v>
      </c>
      <c r="F139" s="7" t="str">
        <f>F131</f>
        <v>失业率通常与real GDP反向。（Expansionary monetary policy刺激经济，降利率，增加AD，见AD-AS diagram）</v>
      </c>
    </row>
    <row r="140" spans="1:6" x14ac:dyDescent="0.35">
      <c r="A140" s="7">
        <v>17</v>
      </c>
      <c r="B140" s="7" t="str">
        <f>VLOOKUP(A140,PolicyActions!A:B,2,FALSE)</f>
        <v>Decrease administered interest rates</v>
      </c>
      <c r="C140" s="7">
        <v>6</v>
      </c>
      <c r="D140" s="7" t="str">
        <f>VLOOKUP(C140,EconomicVariables!A:B,2,FALSE)</f>
        <v>Interest Rate</v>
      </c>
      <c r="E140" s="7" t="s">
        <v>74</v>
      </c>
      <c r="F140" s="7" t="str">
        <f>F132</f>
        <v>Expansionary monetary policy降利率。Discount rate（federal funds rate上限）和IOR（federal funds rate下限）属于administered interest rate，央行可直接设定，用于调控市场利率的基准federal funds rate（见reserve market diagram)。 这三者都属于policy rate。</v>
      </c>
    </row>
    <row r="141" spans="1:6" x14ac:dyDescent="0.35">
      <c r="A141" s="7">
        <v>17</v>
      </c>
      <c r="B141" s="7" t="str">
        <f>VLOOKUP(A141,PolicyActions!A:B,2,FALSE)</f>
        <v>Decrease administered interest rates</v>
      </c>
      <c r="C141" s="7">
        <v>7</v>
      </c>
      <c r="D141" s="7" t="str">
        <f>VLOOKUP(C141,EconomicVariables!A:B,2,FALSE)</f>
        <v>Bond Price</v>
      </c>
      <c r="E141" s="7" t="s">
        <v>75</v>
      </c>
      <c r="F141" s="7" t="str">
        <f>F133</f>
        <v>债券价格与利率反向。（Expansionary monetary policy刺激经济，降利率，增加AD）</v>
      </c>
    </row>
    <row r="142" spans="1:6" x14ac:dyDescent="0.35">
      <c r="A142" s="7">
        <v>17</v>
      </c>
      <c r="B142" s="7" t="str">
        <f>VLOOKUP(A142,PolicyActions!A:B,2,FALSE)</f>
        <v>Decrease administered interest rates</v>
      </c>
      <c r="C142" s="7">
        <v>8</v>
      </c>
      <c r="D142" s="7" t="str">
        <f>VLOOKUP(C142,EconomicVariables!A:B,2,FALSE)</f>
        <v>Interest-sensitive Private Spending (Investment &amp; Consumption)</v>
      </c>
      <c r="E142" s="7" t="s">
        <v>75</v>
      </c>
      <c r="F142" s="7" t="str">
        <f>F134</f>
        <v>Interest-sensitive Private Spending (Investment &amp; Consumption)与利率反向。（Expansionary monetary policy刺激经济，降利率，增加AD）</v>
      </c>
    </row>
    <row r="143" spans="1:6" x14ac:dyDescent="0.35">
      <c r="A143" s="7">
        <v>17</v>
      </c>
      <c r="B143" s="7" t="str">
        <f>VLOOKUP(A143,PolicyActions!A:B,2,FALSE)</f>
        <v>Decrease administered interest rates</v>
      </c>
      <c r="C143" s="7">
        <v>9</v>
      </c>
      <c r="D143" s="7" t="str">
        <f>VLOOKUP(C143,EconomicVariables!A:B,2,FALSE)</f>
        <v>Economic Growth (LRAS, PPC)</v>
      </c>
      <c r="E143" s="7" t="s">
        <v>75</v>
      </c>
      <c r="F143" s="7" t="str">
        <f>F135</f>
        <v>Investment与利率反向，长期会影响capital stock资本存量（属于资源数量）和潜在产能。（Expansionary monetary policy刺激经济，降利率，增加AD）</v>
      </c>
    </row>
    <row r="144" spans="1:6" x14ac:dyDescent="0.35">
      <c r="A144" s="8">
        <v>18</v>
      </c>
      <c r="B144" s="8" t="str">
        <f>VLOOKUP(A144,PolicyActions!A:B,2,FALSE)</f>
        <v>Contractionary monetary policy</v>
      </c>
      <c r="C144" s="8">
        <v>1</v>
      </c>
      <c r="D144" s="8" t="str">
        <f>VLOOKUP(C144,EconomicVariables!A:B,2,FALSE)</f>
        <v>Aggregate Demand</v>
      </c>
      <c r="E144" s="8" t="s">
        <v>74</v>
      </c>
      <c r="F144" s="8" t="s">
        <v>144</v>
      </c>
    </row>
    <row r="145" spans="1:6" x14ac:dyDescent="0.35">
      <c r="A145" s="8">
        <v>18</v>
      </c>
      <c r="B145" s="8" t="str">
        <f>VLOOKUP(A145,PolicyActions!A:B,2,FALSE)</f>
        <v>Contractionary monetary policy</v>
      </c>
      <c r="C145" s="8">
        <v>2</v>
      </c>
      <c r="D145" s="8" t="str">
        <f>VLOOKUP(C145,EconomicVariables!A:B,2,FALSE)</f>
        <v>Price Level</v>
      </c>
      <c r="E145" s="8" t="s">
        <v>74</v>
      </c>
      <c r="F145" s="8" t="s">
        <v>145</v>
      </c>
    </row>
    <row r="146" spans="1:6" x14ac:dyDescent="0.35">
      <c r="A146" s="8">
        <v>18</v>
      </c>
      <c r="B146" s="8" t="str">
        <f>VLOOKUP(A146,PolicyActions!A:B,2,FALSE)</f>
        <v>Contractionary monetary policy</v>
      </c>
      <c r="C146" s="8">
        <v>3</v>
      </c>
      <c r="D146" s="8" t="str">
        <f>VLOOKUP(C146,EconomicVariables!A:B,2,FALSE)</f>
        <v>Real GDP</v>
      </c>
      <c r="E146" s="8" t="s">
        <v>74</v>
      </c>
      <c r="F146" s="8" t="s">
        <v>145</v>
      </c>
    </row>
    <row r="147" spans="1:6" x14ac:dyDescent="0.35">
      <c r="A147" s="8">
        <v>18</v>
      </c>
      <c r="B147" s="8" t="str">
        <f>VLOOKUP(A147,PolicyActions!A:B,2,FALSE)</f>
        <v>Contractionary monetary policy</v>
      </c>
      <c r="C147" s="8">
        <v>4</v>
      </c>
      <c r="D147" s="8" t="str">
        <f>VLOOKUP(C147,EconomicVariables!A:B,2,FALSE)</f>
        <v>Unemployment Rate</v>
      </c>
      <c r="E147" s="8" t="s">
        <v>75</v>
      </c>
      <c r="F147" s="8" t="s">
        <v>146</v>
      </c>
    </row>
    <row r="148" spans="1:6" x14ac:dyDescent="0.35">
      <c r="A148" s="8">
        <v>18</v>
      </c>
      <c r="B148" s="8" t="str">
        <f>VLOOKUP(A148,PolicyActions!A:B,2,FALSE)</f>
        <v>Contractionary monetary policy</v>
      </c>
      <c r="C148" s="8">
        <v>5</v>
      </c>
      <c r="D148" s="8" t="str">
        <f>VLOOKUP(C148,EconomicVariables!A:B,2,FALSE)</f>
        <v>Money Supply</v>
      </c>
      <c r="E148" s="8" t="s">
        <v>74</v>
      </c>
      <c r="F148" s="8" t="s">
        <v>76</v>
      </c>
    </row>
    <row r="149" spans="1:6" x14ac:dyDescent="0.35">
      <c r="A149" s="8">
        <v>18</v>
      </c>
      <c r="B149" s="8" t="str">
        <f>VLOOKUP(A149,PolicyActions!A:B,2,FALSE)</f>
        <v>Contractionary monetary policy</v>
      </c>
      <c r="C149" s="8">
        <v>6</v>
      </c>
      <c r="D149" s="8" t="str">
        <f>VLOOKUP(C149,EconomicVariables!A:B,2,FALSE)</f>
        <v>Interest Rate</v>
      </c>
      <c r="E149" s="8" t="s">
        <v>75</v>
      </c>
      <c r="F149" s="8" t="s">
        <v>147</v>
      </c>
    </row>
    <row r="150" spans="1:6" x14ac:dyDescent="0.35">
      <c r="A150" s="8">
        <v>18</v>
      </c>
      <c r="B150" s="8" t="str">
        <f>VLOOKUP(A150,PolicyActions!A:B,2,FALSE)</f>
        <v>Contractionary monetary policy</v>
      </c>
      <c r="C150" s="8">
        <v>7</v>
      </c>
      <c r="D150" s="8" t="str">
        <f>VLOOKUP(C150,EconomicVariables!A:B,2,FALSE)</f>
        <v>Bond Price</v>
      </c>
      <c r="E150" s="8" t="s">
        <v>74</v>
      </c>
      <c r="F150" s="8" t="s">
        <v>148</v>
      </c>
    </row>
    <row r="151" spans="1:6" x14ac:dyDescent="0.35">
      <c r="A151" s="8">
        <v>18</v>
      </c>
      <c r="B151" s="8" t="str">
        <f>VLOOKUP(A151,PolicyActions!A:B,2,FALSE)</f>
        <v>Contractionary monetary policy</v>
      </c>
      <c r="C151" s="8">
        <v>8</v>
      </c>
      <c r="D151" s="8" t="str">
        <f>VLOOKUP(C151,EconomicVariables!A:B,2,FALSE)</f>
        <v>Interest-sensitive Private Spending (Investment &amp; Consumption)</v>
      </c>
      <c r="E151" s="8" t="s">
        <v>74</v>
      </c>
      <c r="F151" s="8" t="s">
        <v>149</v>
      </c>
    </row>
    <row r="152" spans="1:6" x14ac:dyDescent="0.35">
      <c r="A152" s="8">
        <v>18</v>
      </c>
      <c r="B152" s="8" t="str">
        <f>VLOOKUP(A152,PolicyActions!A:B,2,FALSE)</f>
        <v>Contractionary monetary policy</v>
      </c>
      <c r="C152" s="8">
        <v>9</v>
      </c>
      <c r="D152" s="8" t="str">
        <f>VLOOKUP(C152,EconomicVariables!A:B,2,FALSE)</f>
        <v>Economic Growth (LRAS, PPC)</v>
      </c>
      <c r="E152" s="8" t="s">
        <v>74</v>
      </c>
      <c r="F152" s="8" t="s">
        <v>150</v>
      </c>
    </row>
    <row r="153" spans="1:6" x14ac:dyDescent="0.35">
      <c r="A153" s="8">
        <v>19</v>
      </c>
      <c r="B153" s="8" t="str">
        <f>VLOOKUP(A153,PolicyActions!A:B,2,FALSE)</f>
        <v>Increase required reserve ratio</v>
      </c>
      <c r="C153" s="8">
        <v>1</v>
      </c>
      <c r="D153" s="8" t="str">
        <f>VLOOKUP(C153,EconomicVariables!A:B,2,FALSE)</f>
        <v>Aggregate Demand</v>
      </c>
      <c r="E153" s="8" t="s">
        <v>74</v>
      </c>
      <c r="F153" s="8" t="str">
        <f>F144</f>
        <v>Contractionary monetary policy抑制经济，通过升利率，减少interest-sensitive private spending和AD</v>
      </c>
    </row>
    <row r="154" spans="1:6" x14ac:dyDescent="0.35">
      <c r="A154" s="8">
        <v>19</v>
      </c>
      <c r="B154" s="8" t="str">
        <f>VLOOKUP(A154,PolicyActions!A:B,2,FALSE)</f>
        <v>Increase required reserve ratio</v>
      </c>
      <c r="C154" s="8">
        <v>2</v>
      </c>
      <c r="D154" s="8" t="str">
        <f>VLOOKUP(C154,EconomicVariables!A:B,2,FALSE)</f>
        <v>Price Level</v>
      </c>
      <c r="E154" s="8" t="s">
        <v>74</v>
      </c>
      <c r="F154" s="8" t="str">
        <f t="shared" ref="F154:F201" si="8">F145</f>
        <v>Contractionary monetary policy抑制经济，升利率，减少AD，见AD-AS diagram</v>
      </c>
    </row>
    <row r="155" spans="1:6" x14ac:dyDescent="0.35">
      <c r="A155" s="8">
        <v>19</v>
      </c>
      <c r="B155" s="8" t="str">
        <f>VLOOKUP(A155,PolicyActions!A:B,2,FALSE)</f>
        <v>Increase required reserve ratio</v>
      </c>
      <c r="C155" s="8">
        <v>3</v>
      </c>
      <c r="D155" s="8" t="str">
        <f>VLOOKUP(C155,EconomicVariables!A:B,2,FALSE)</f>
        <v>Real GDP</v>
      </c>
      <c r="E155" s="8" t="s">
        <v>74</v>
      </c>
      <c r="F155" s="8" t="str">
        <f t="shared" si="8"/>
        <v>Contractionary monetary policy抑制经济，升利率，减少AD，见AD-AS diagram</v>
      </c>
    </row>
    <row r="156" spans="1:6" x14ac:dyDescent="0.35">
      <c r="A156" s="8">
        <v>19</v>
      </c>
      <c r="B156" s="8" t="str">
        <f>VLOOKUP(A156,PolicyActions!A:B,2,FALSE)</f>
        <v>Increase required reserve ratio</v>
      </c>
      <c r="C156" s="8">
        <v>4</v>
      </c>
      <c r="D156" s="8" t="str">
        <f>VLOOKUP(C156,EconomicVariables!A:B,2,FALSE)</f>
        <v>Unemployment Rate</v>
      </c>
      <c r="E156" s="8" t="s">
        <v>75</v>
      </c>
      <c r="F156" s="8" t="str">
        <f t="shared" si="8"/>
        <v>失业率通常与real GDP反向。（Contractionary monetary policy抑制经济，升利率，减少AD，见AD-AS diagram）</v>
      </c>
    </row>
    <row r="157" spans="1:6" x14ac:dyDescent="0.35">
      <c r="A157" s="8">
        <v>19</v>
      </c>
      <c r="B157" s="8" t="str">
        <f>VLOOKUP(A157,PolicyActions!A:B,2,FALSE)</f>
        <v>Increase required reserve ratio</v>
      </c>
      <c r="C157" s="8">
        <v>5</v>
      </c>
      <c r="D157" s="8" t="str">
        <f>VLOOKUP(C157,EconomicVariables!A:B,2,FALSE)</f>
        <v>Money Supply</v>
      </c>
      <c r="E157" s="8" t="s">
        <v>74</v>
      </c>
      <c r="F157" s="8" t="str">
        <f t="shared" si="8"/>
        <v>Contractionary monetary policy中sell bonds可减少monetary base，提高reserve requirement可降低money multiplier和money supply</v>
      </c>
    </row>
    <row r="158" spans="1:6" x14ac:dyDescent="0.35">
      <c r="A158" s="8">
        <v>19</v>
      </c>
      <c r="B158" s="8" t="str">
        <f>VLOOKUP(A158,PolicyActions!A:B,2,FALSE)</f>
        <v>Increase required reserve ratio</v>
      </c>
      <c r="C158" s="8">
        <v>6</v>
      </c>
      <c r="D158" s="8" t="str">
        <f>VLOOKUP(C158,EconomicVariables!A:B,2,FALSE)</f>
        <v>Interest Rate</v>
      </c>
      <c r="E158" s="8" t="s">
        <v>75</v>
      </c>
      <c r="F158" s="8" t="str">
        <f t="shared" si="8"/>
        <v>Contractionary monetary policy减少money supply，提高利率（见money market diagram &amp; reserve market diagram)</v>
      </c>
    </row>
    <row r="159" spans="1:6" x14ac:dyDescent="0.35">
      <c r="A159" s="8">
        <v>19</v>
      </c>
      <c r="B159" s="8" t="str">
        <f>VLOOKUP(A159,PolicyActions!A:B,2,FALSE)</f>
        <v>Increase required reserve ratio</v>
      </c>
      <c r="C159" s="8">
        <v>7</v>
      </c>
      <c r="D159" s="8" t="str">
        <f>VLOOKUP(C159,EconomicVariables!A:B,2,FALSE)</f>
        <v>Bond Price</v>
      </c>
      <c r="E159" s="8" t="s">
        <v>74</v>
      </c>
      <c r="F159" s="8" t="str">
        <f t="shared" si="8"/>
        <v>债券价格与利率反向。（Contractionary monetary policy抑制经济，升利率，减少AD）</v>
      </c>
    </row>
    <row r="160" spans="1:6" x14ac:dyDescent="0.35">
      <c r="A160" s="8">
        <v>19</v>
      </c>
      <c r="B160" s="8" t="str">
        <f>VLOOKUP(A160,PolicyActions!A:B,2,FALSE)</f>
        <v>Increase required reserve ratio</v>
      </c>
      <c r="C160" s="8">
        <v>8</v>
      </c>
      <c r="D160" s="8" t="str">
        <f>VLOOKUP(C160,EconomicVariables!A:B,2,FALSE)</f>
        <v>Interest-sensitive Private Spending (Investment &amp; Consumption)</v>
      </c>
      <c r="E160" s="8" t="s">
        <v>74</v>
      </c>
      <c r="F160" s="8" t="str">
        <f t="shared" si="8"/>
        <v>Interest-sensitive Private Spending (Investment &amp; Consumption)与利率反向。（Contractionary monetary policy抑制经济，升利率，减少AD）</v>
      </c>
    </row>
    <row r="161" spans="1:6" x14ac:dyDescent="0.35">
      <c r="A161" s="8">
        <v>19</v>
      </c>
      <c r="B161" s="8" t="str">
        <f>VLOOKUP(A161,PolicyActions!A:B,2,FALSE)</f>
        <v>Increase required reserve ratio</v>
      </c>
      <c r="C161" s="8">
        <v>9</v>
      </c>
      <c r="D161" s="8" t="str">
        <f>VLOOKUP(C161,EconomicVariables!A:B,2,FALSE)</f>
        <v>Economic Growth (LRAS, PPC)</v>
      </c>
      <c r="E161" s="8" t="s">
        <v>74</v>
      </c>
      <c r="F161" s="8" t="str">
        <f t="shared" si="8"/>
        <v>Investment与利率反向，长期会影响capital stock资本存量（属于资源数量）和潜在产能。（Contractionary monetary policy抑制经济，升利率，减少AD）</v>
      </c>
    </row>
    <row r="162" spans="1:6" x14ac:dyDescent="0.35">
      <c r="A162" s="8">
        <v>20</v>
      </c>
      <c r="B162" s="8" t="str">
        <f>VLOOKUP(A162,PolicyActions!A:B,2,FALSE)</f>
        <v>Increase reserve requirement</v>
      </c>
      <c r="C162" s="8">
        <v>1</v>
      </c>
      <c r="D162" s="8" t="str">
        <f>VLOOKUP(C162,EconomicVariables!A:B,2,FALSE)</f>
        <v>Aggregate Demand</v>
      </c>
      <c r="E162" s="8" t="s">
        <v>74</v>
      </c>
      <c r="F162" s="8" t="str">
        <f t="shared" si="8"/>
        <v>Contractionary monetary policy抑制经济，通过升利率，减少interest-sensitive private spending和AD</v>
      </c>
    </row>
    <row r="163" spans="1:6" x14ac:dyDescent="0.35">
      <c r="A163" s="8">
        <v>20</v>
      </c>
      <c r="B163" s="8" t="str">
        <f>VLOOKUP(A163,PolicyActions!A:B,2,FALSE)</f>
        <v>Increase reserve requirement</v>
      </c>
      <c r="C163" s="8">
        <v>2</v>
      </c>
      <c r="D163" s="8" t="str">
        <f>VLOOKUP(C163,EconomicVariables!A:B,2,FALSE)</f>
        <v>Price Level</v>
      </c>
      <c r="E163" s="8" t="s">
        <v>74</v>
      </c>
      <c r="F163" s="8" t="str">
        <f t="shared" si="8"/>
        <v>Contractionary monetary policy抑制经济，升利率，减少AD，见AD-AS diagram</v>
      </c>
    </row>
    <row r="164" spans="1:6" x14ac:dyDescent="0.35">
      <c r="A164" s="8">
        <v>20</v>
      </c>
      <c r="B164" s="8" t="str">
        <f>VLOOKUP(A164,PolicyActions!A:B,2,FALSE)</f>
        <v>Increase reserve requirement</v>
      </c>
      <c r="C164" s="8">
        <v>3</v>
      </c>
      <c r="D164" s="8" t="str">
        <f>VLOOKUP(C164,EconomicVariables!A:B,2,FALSE)</f>
        <v>Real GDP</v>
      </c>
      <c r="E164" s="8" t="s">
        <v>74</v>
      </c>
      <c r="F164" s="8" t="str">
        <f t="shared" si="8"/>
        <v>Contractionary monetary policy抑制经济，升利率，减少AD，见AD-AS diagram</v>
      </c>
    </row>
    <row r="165" spans="1:6" x14ac:dyDescent="0.35">
      <c r="A165" s="8">
        <v>20</v>
      </c>
      <c r="B165" s="8" t="str">
        <f>VLOOKUP(A165,PolicyActions!A:B,2,FALSE)</f>
        <v>Increase reserve requirement</v>
      </c>
      <c r="C165" s="8">
        <v>4</v>
      </c>
      <c r="D165" s="8" t="str">
        <f>VLOOKUP(C165,EconomicVariables!A:B,2,FALSE)</f>
        <v>Unemployment Rate</v>
      </c>
      <c r="E165" s="8" t="s">
        <v>75</v>
      </c>
      <c r="F165" s="8" t="str">
        <f t="shared" si="8"/>
        <v>失业率通常与real GDP反向。（Contractionary monetary policy抑制经济，升利率，减少AD，见AD-AS diagram）</v>
      </c>
    </row>
    <row r="166" spans="1:6" x14ac:dyDescent="0.35">
      <c r="A166" s="8">
        <v>20</v>
      </c>
      <c r="B166" s="8" t="str">
        <f>VLOOKUP(A166,PolicyActions!A:B,2,FALSE)</f>
        <v>Increase reserve requirement</v>
      </c>
      <c r="C166" s="8">
        <v>5</v>
      </c>
      <c r="D166" s="8" t="str">
        <f>VLOOKUP(C166,EconomicVariables!A:B,2,FALSE)</f>
        <v>Money Supply</v>
      </c>
      <c r="E166" s="8" t="s">
        <v>74</v>
      </c>
      <c r="F166" s="8" t="str">
        <f t="shared" si="8"/>
        <v>Contractionary monetary policy中sell bonds可减少monetary base，提高reserve requirement可降低money multiplier和money supply</v>
      </c>
    </row>
    <row r="167" spans="1:6" x14ac:dyDescent="0.35">
      <c r="A167" s="8">
        <v>20</v>
      </c>
      <c r="B167" s="8" t="str">
        <f>VLOOKUP(A167,PolicyActions!A:B,2,FALSE)</f>
        <v>Increase reserve requirement</v>
      </c>
      <c r="C167" s="8">
        <v>6</v>
      </c>
      <c r="D167" s="8" t="str">
        <f>VLOOKUP(C167,EconomicVariables!A:B,2,FALSE)</f>
        <v>Interest Rate</v>
      </c>
      <c r="E167" s="8" t="s">
        <v>75</v>
      </c>
      <c r="F167" s="8" t="str">
        <f t="shared" si="8"/>
        <v>Contractionary monetary policy减少money supply，提高利率（见money market diagram &amp; reserve market diagram)</v>
      </c>
    </row>
    <row r="168" spans="1:6" x14ac:dyDescent="0.35">
      <c r="A168" s="8">
        <v>20</v>
      </c>
      <c r="B168" s="8" t="str">
        <f>VLOOKUP(A168,PolicyActions!A:B,2,FALSE)</f>
        <v>Increase reserve requirement</v>
      </c>
      <c r="C168" s="8">
        <v>7</v>
      </c>
      <c r="D168" s="8" t="str">
        <f>VLOOKUP(C168,EconomicVariables!A:B,2,FALSE)</f>
        <v>Bond Price</v>
      </c>
      <c r="E168" s="8" t="s">
        <v>74</v>
      </c>
      <c r="F168" s="8" t="str">
        <f t="shared" si="8"/>
        <v>债券价格与利率反向。（Contractionary monetary policy抑制经济，升利率，减少AD）</v>
      </c>
    </row>
    <row r="169" spans="1:6" x14ac:dyDescent="0.35">
      <c r="A169" s="8">
        <v>20</v>
      </c>
      <c r="B169" s="8" t="str">
        <f>VLOOKUP(A169,PolicyActions!A:B,2,FALSE)</f>
        <v>Increase reserve requirement</v>
      </c>
      <c r="C169" s="8">
        <v>8</v>
      </c>
      <c r="D169" s="8" t="str">
        <f>VLOOKUP(C169,EconomicVariables!A:B,2,FALSE)</f>
        <v>Interest-sensitive Private Spending (Investment &amp; Consumption)</v>
      </c>
      <c r="E169" s="8" t="s">
        <v>74</v>
      </c>
      <c r="F169" s="8" t="str">
        <f t="shared" si="8"/>
        <v>Interest-sensitive Private Spending (Investment &amp; Consumption)与利率反向。（Contractionary monetary policy抑制经济，升利率，减少AD）</v>
      </c>
    </row>
    <row r="170" spans="1:6" x14ac:dyDescent="0.35">
      <c r="A170" s="8">
        <v>20</v>
      </c>
      <c r="B170" s="8" t="str">
        <f>VLOOKUP(A170,PolicyActions!A:B,2,FALSE)</f>
        <v>Increase reserve requirement</v>
      </c>
      <c r="C170" s="8">
        <v>9</v>
      </c>
      <c r="D170" s="8" t="str">
        <f>VLOOKUP(C170,EconomicVariables!A:B,2,FALSE)</f>
        <v>Economic Growth (LRAS, PPC)</v>
      </c>
      <c r="E170" s="8" t="s">
        <v>74</v>
      </c>
      <c r="F170" s="8" t="str">
        <f t="shared" si="8"/>
        <v>Investment与利率反向，长期会影响capital stock资本存量（属于资源数量）和潜在产能。（Contractionary monetary policy抑制经济，升利率，减少AD）</v>
      </c>
    </row>
    <row r="171" spans="1:6" x14ac:dyDescent="0.35">
      <c r="A171" s="8">
        <v>21</v>
      </c>
      <c r="B171" s="8" t="str">
        <f>VLOOKUP(A171,PolicyActions!A:B,2,FALSE)</f>
        <v>Sell government bonds / securities</v>
      </c>
      <c r="C171" s="8">
        <v>1</v>
      </c>
      <c r="D171" s="8" t="str">
        <f>VLOOKUP(C171,EconomicVariables!A:B,2,FALSE)</f>
        <v>Aggregate Demand</v>
      </c>
      <c r="E171" s="8" t="s">
        <v>74</v>
      </c>
      <c r="F171" s="8" t="str">
        <f t="shared" si="8"/>
        <v>Contractionary monetary policy抑制经济，通过升利率，减少interest-sensitive private spending和AD</v>
      </c>
    </row>
    <row r="172" spans="1:6" x14ac:dyDescent="0.35">
      <c r="A172" s="8">
        <v>21</v>
      </c>
      <c r="B172" s="8" t="str">
        <f>VLOOKUP(A172,PolicyActions!A:B,2,FALSE)</f>
        <v>Sell government bonds / securities</v>
      </c>
      <c r="C172" s="8">
        <v>2</v>
      </c>
      <c r="D172" s="8" t="str">
        <f>VLOOKUP(C172,EconomicVariables!A:B,2,FALSE)</f>
        <v>Price Level</v>
      </c>
      <c r="E172" s="8" t="s">
        <v>74</v>
      </c>
      <c r="F172" s="8" t="str">
        <f t="shared" si="8"/>
        <v>Contractionary monetary policy抑制经济，升利率，减少AD，见AD-AS diagram</v>
      </c>
    </row>
    <row r="173" spans="1:6" x14ac:dyDescent="0.35">
      <c r="A173" s="8">
        <v>21</v>
      </c>
      <c r="B173" s="8" t="str">
        <f>VLOOKUP(A173,PolicyActions!A:B,2,FALSE)</f>
        <v>Sell government bonds / securities</v>
      </c>
      <c r="C173" s="8">
        <v>3</v>
      </c>
      <c r="D173" s="8" t="str">
        <f>VLOOKUP(C173,EconomicVariables!A:B,2,FALSE)</f>
        <v>Real GDP</v>
      </c>
      <c r="E173" s="8" t="s">
        <v>74</v>
      </c>
      <c r="F173" s="8" t="str">
        <f t="shared" si="8"/>
        <v>Contractionary monetary policy抑制经济，升利率，减少AD，见AD-AS diagram</v>
      </c>
    </row>
    <row r="174" spans="1:6" x14ac:dyDescent="0.35">
      <c r="A174" s="8">
        <v>21</v>
      </c>
      <c r="B174" s="8" t="str">
        <f>VLOOKUP(A174,PolicyActions!A:B,2,FALSE)</f>
        <v>Sell government bonds / securities</v>
      </c>
      <c r="C174" s="8">
        <v>4</v>
      </c>
      <c r="D174" s="8" t="str">
        <f>VLOOKUP(C174,EconomicVariables!A:B,2,FALSE)</f>
        <v>Unemployment Rate</v>
      </c>
      <c r="E174" s="8" t="s">
        <v>75</v>
      </c>
      <c r="F174" s="8" t="str">
        <f t="shared" si="8"/>
        <v>失业率通常与real GDP反向。（Contractionary monetary policy抑制经济，升利率，减少AD，见AD-AS diagram）</v>
      </c>
    </row>
    <row r="175" spans="1:6" x14ac:dyDescent="0.35">
      <c r="A175" s="8">
        <v>21</v>
      </c>
      <c r="B175" s="8" t="str">
        <f>VLOOKUP(A175,PolicyActions!A:B,2,FALSE)</f>
        <v>Sell government bonds / securities</v>
      </c>
      <c r="C175" s="8">
        <v>5</v>
      </c>
      <c r="D175" s="8" t="str">
        <f>VLOOKUP(C175,EconomicVariables!A:B,2,FALSE)</f>
        <v>Money Supply</v>
      </c>
      <c r="E175" s="8" t="s">
        <v>74</v>
      </c>
      <c r="F175" s="8" t="str">
        <f t="shared" si="8"/>
        <v>Contractionary monetary policy中sell bonds可减少monetary base，提高reserve requirement可降低money multiplier和money supply</v>
      </c>
    </row>
    <row r="176" spans="1:6" x14ac:dyDescent="0.35">
      <c r="A176" s="8">
        <v>21</v>
      </c>
      <c r="B176" s="8" t="str">
        <f>VLOOKUP(A176,PolicyActions!A:B,2,FALSE)</f>
        <v>Sell government bonds / securities</v>
      </c>
      <c r="C176" s="8">
        <v>6</v>
      </c>
      <c r="D176" s="8" t="str">
        <f>VLOOKUP(C176,EconomicVariables!A:B,2,FALSE)</f>
        <v>Interest Rate</v>
      </c>
      <c r="E176" s="8" t="s">
        <v>75</v>
      </c>
      <c r="F176" s="8" t="str">
        <f t="shared" si="8"/>
        <v>Contractionary monetary policy减少money supply，提高利率（见money market diagram &amp; reserve market diagram)</v>
      </c>
    </row>
    <row r="177" spans="1:6" x14ac:dyDescent="0.35">
      <c r="A177" s="8">
        <v>21</v>
      </c>
      <c r="B177" s="8" t="str">
        <f>VLOOKUP(A177,PolicyActions!A:B,2,FALSE)</f>
        <v>Sell government bonds / securities</v>
      </c>
      <c r="C177" s="8">
        <v>7</v>
      </c>
      <c r="D177" s="8" t="str">
        <f>VLOOKUP(C177,EconomicVariables!A:B,2,FALSE)</f>
        <v>Bond Price</v>
      </c>
      <c r="E177" s="8" t="s">
        <v>74</v>
      </c>
      <c r="F177" s="8" t="str">
        <f t="shared" si="8"/>
        <v>债券价格与利率反向。（Contractionary monetary policy抑制经济，升利率，减少AD）</v>
      </c>
    </row>
    <row r="178" spans="1:6" x14ac:dyDescent="0.35">
      <c r="A178" s="8">
        <v>21</v>
      </c>
      <c r="B178" s="8" t="str">
        <f>VLOOKUP(A178,PolicyActions!A:B,2,FALSE)</f>
        <v>Sell government bonds / securities</v>
      </c>
      <c r="C178" s="8">
        <v>8</v>
      </c>
      <c r="D178" s="8" t="str">
        <f>VLOOKUP(C178,EconomicVariables!A:B,2,FALSE)</f>
        <v>Interest-sensitive Private Spending (Investment &amp; Consumption)</v>
      </c>
      <c r="E178" s="8" t="s">
        <v>74</v>
      </c>
      <c r="F178" s="8" t="str">
        <f t="shared" si="8"/>
        <v>Interest-sensitive Private Spending (Investment &amp; Consumption)与利率反向。（Contractionary monetary policy抑制经济，升利率，减少AD）</v>
      </c>
    </row>
    <row r="179" spans="1:6" x14ac:dyDescent="0.35">
      <c r="A179" s="8">
        <v>21</v>
      </c>
      <c r="B179" s="8" t="str">
        <f>VLOOKUP(A179,PolicyActions!A:B,2,FALSE)</f>
        <v>Sell government bonds / securities</v>
      </c>
      <c r="C179" s="8">
        <v>9</v>
      </c>
      <c r="D179" s="8" t="str">
        <f>VLOOKUP(C179,EconomicVariables!A:B,2,FALSE)</f>
        <v>Economic Growth (LRAS, PPC)</v>
      </c>
      <c r="E179" s="8" t="s">
        <v>74</v>
      </c>
      <c r="F179" s="8" t="str">
        <f t="shared" si="8"/>
        <v>Investment与利率反向，长期会影响capital stock资本存量（属于资源数量）和潜在产能。（Contractionary monetary policy抑制经济，升利率，减少AD）</v>
      </c>
    </row>
    <row r="180" spans="1:6" x14ac:dyDescent="0.35">
      <c r="A180" s="8">
        <v>22</v>
      </c>
      <c r="B180" s="8" t="str">
        <f>VLOOKUP(A180,PolicyActions!A:B,2,FALSE)</f>
        <v>Sell Treasury bonds / bills</v>
      </c>
      <c r="C180" s="8">
        <v>1</v>
      </c>
      <c r="D180" s="8" t="str">
        <f>VLOOKUP(C180,EconomicVariables!A:B,2,FALSE)</f>
        <v>Aggregate Demand</v>
      </c>
      <c r="E180" s="8" t="s">
        <v>74</v>
      </c>
      <c r="F180" s="8" t="str">
        <f t="shared" si="8"/>
        <v>Contractionary monetary policy抑制经济，通过升利率，减少interest-sensitive private spending和AD</v>
      </c>
    </row>
    <row r="181" spans="1:6" x14ac:dyDescent="0.35">
      <c r="A181" s="8">
        <v>22</v>
      </c>
      <c r="B181" s="8" t="str">
        <f>VLOOKUP(A181,PolicyActions!A:B,2,FALSE)</f>
        <v>Sell Treasury bonds / bills</v>
      </c>
      <c r="C181" s="8">
        <v>2</v>
      </c>
      <c r="D181" s="8" t="str">
        <f>VLOOKUP(C181,EconomicVariables!A:B,2,FALSE)</f>
        <v>Price Level</v>
      </c>
      <c r="E181" s="8" t="s">
        <v>74</v>
      </c>
      <c r="F181" s="8" t="str">
        <f t="shared" si="8"/>
        <v>Contractionary monetary policy抑制经济，升利率，减少AD，见AD-AS diagram</v>
      </c>
    </row>
    <row r="182" spans="1:6" x14ac:dyDescent="0.35">
      <c r="A182" s="8">
        <v>22</v>
      </c>
      <c r="B182" s="8" t="str">
        <f>VLOOKUP(A182,PolicyActions!A:B,2,FALSE)</f>
        <v>Sell Treasury bonds / bills</v>
      </c>
      <c r="C182" s="8">
        <v>3</v>
      </c>
      <c r="D182" s="8" t="str">
        <f>VLOOKUP(C182,EconomicVariables!A:B,2,FALSE)</f>
        <v>Real GDP</v>
      </c>
      <c r="E182" s="8" t="s">
        <v>74</v>
      </c>
      <c r="F182" s="8" t="str">
        <f t="shared" si="8"/>
        <v>Contractionary monetary policy抑制经济，升利率，减少AD，见AD-AS diagram</v>
      </c>
    </row>
    <row r="183" spans="1:6" x14ac:dyDescent="0.35">
      <c r="A183" s="8">
        <v>22</v>
      </c>
      <c r="B183" s="8" t="str">
        <f>VLOOKUP(A183,PolicyActions!A:B,2,FALSE)</f>
        <v>Sell Treasury bonds / bills</v>
      </c>
      <c r="C183" s="8">
        <v>4</v>
      </c>
      <c r="D183" s="8" t="str">
        <f>VLOOKUP(C183,EconomicVariables!A:B,2,FALSE)</f>
        <v>Unemployment Rate</v>
      </c>
      <c r="E183" s="8" t="s">
        <v>75</v>
      </c>
      <c r="F183" s="8" t="str">
        <f t="shared" si="8"/>
        <v>失业率通常与real GDP反向。（Contractionary monetary policy抑制经济，升利率，减少AD，见AD-AS diagram）</v>
      </c>
    </row>
    <row r="184" spans="1:6" x14ac:dyDescent="0.35">
      <c r="A184" s="8">
        <v>22</v>
      </c>
      <c r="B184" s="8" t="str">
        <f>VLOOKUP(A184,PolicyActions!A:B,2,FALSE)</f>
        <v>Sell Treasury bonds / bills</v>
      </c>
      <c r="C184" s="8">
        <v>5</v>
      </c>
      <c r="D184" s="8" t="str">
        <f>VLOOKUP(C184,EconomicVariables!A:B,2,FALSE)</f>
        <v>Money Supply</v>
      </c>
      <c r="E184" s="8" t="s">
        <v>74</v>
      </c>
      <c r="F184" s="8" t="str">
        <f t="shared" si="8"/>
        <v>Contractionary monetary policy中sell bonds可减少monetary base，提高reserve requirement可降低money multiplier和money supply</v>
      </c>
    </row>
    <row r="185" spans="1:6" x14ac:dyDescent="0.35">
      <c r="A185" s="8">
        <v>22</v>
      </c>
      <c r="B185" s="8" t="str">
        <f>VLOOKUP(A185,PolicyActions!A:B,2,FALSE)</f>
        <v>Sell Treasury bonds / bills</v>
      </c>
      <c r="C185" s="8">
        <v>6</v>
      </c>
      <c r="D185" s="8" t="str">
        <f>VLOOKUP(C185,EconomicVariables!A:B,2,FALSE)</f>
        <v>Interest Rate</v>
      </c>
      <c r="E185" s="8" t="s">
        <v>75</v>
      </c>
      <c r="F185" s="8" t="str">
        <f t="shared" si="8"/>
        <v>Contractionary monetary policy减少money supply，提高利率（见money market diagram &amp; reserve market diagram)</v>
      </c>
    </row>
    <row r="186" spans="1:6" x14ac:dyDescent="0.35">
      <c r="A186" s="8">
        <v>22</v>
      </c>
      <c r="B186" s="8" t="str">
        <f>VLOOKUP(A186,PolicyActions!A:B,2,FALSE)</f>
        <v>Sell Treasury bonds / bills</v>
      </c>
      <c r="C186" s="8">
        <v>7</v>
      </c>
      <c r="D186" s="8" t="str">
        <f>VLOOKUP(C186,EconomicVariables!A:B,2,FALSE)</f>
        <v>Bond Price</v>
      </c>
      <c r="E186" s="8" t="s">
        <v>74</v>
      </c>
      <c r="F186" s="8" t="str">
        <f t="shared" si="8"/>
        <v>债券价格与利率反向。（Contractionary monetary policy抑制经济，升利率，减少AD）</v>
      </c>
    </row>
    <row r="187" spans="1:6" x14ac:dyDescent="0.35">
      <c r="A187" s="8">
        <v>22</v>
      </c>
      <c r="B187" s="8" t="str">
        <f>VLOOKUP(A187,PolicyActions!A:B,2,FALSE)</f>
        <v>Sell Treasury bonds / bills</v>
      </c>
      <c r="C187" s="8">
        <v>8</v>
      </c>
      <c r="D187" s="8" t="str">
        <f>VLOOKUP(C187,EconomicVariables!A:B,2,FALSE)</f>
        <v>Interest-sensitive Private Spending (Investment &amp; Consumption)</v>
      </c>
      <c r="E187" s="8" t="s">
        <v>74</v>
      </c>
      <c r="F187" s="8" t="str">
        <f t="shared" si="8"/>
        <v>Interest-sensitive Private Spending (Investment &amp; Consumption)与利率反向。（Contractionary monetary policy抑制经济，升利率，减少AD）</v>
      </c>
    </row>
    <row r="188" spans="1:6" x14ac:dyDescent="0.35">
      <c r="A188" s="8">
        <v>22</v>
      </c>
      <c r="B188" s="8" t="str">
        <f>VLOOKUP(A188,PolicyActions!A:B,2,FALSE)</f>
        <v>Sell Treasury bonds / bills</v>
      </c>
      <c r="C188" s="8">
        <v>9</v>
      </c>
      <c r="D188" s="8" t="str">
        <f>VLOOKUP(C188,EconomicVariables!A:B,2,FALSE)</f>
        <v>Economic Growth (LRAS, PPC)</v>
      </c>
      <c r="E188" s="8" t="s">
        <v>74</v>
      </c>
      <c r="F188" s="8" t="str">
        <f t="shared" si="8"/>
        <v>Investment与利率反向，长期会影响capital stock资本存量（属于资源数量）和潜在产能。（Contractionary monetary policy抑制经济，升利率，减少AD）</v>
      </c>
    </row>
    <row r="189" spans="1:6" x14ac:dyDescent="0.35">
      <c r="A189" s="8">
        <v>23</v>
      </c>
      <c r="B189" s="8" t="str">
        <f>VLOOKUP(A189,PolicyActions!A:B,2,FALSE)</f>
        <v>Open market sale of bonds</v>
      </c>
      <c r="C189" s="8">
        <v>1</v>
      </c>
      <c r="D189" s="8" t="str">
        <f>VLOOKUP(C189,EconomicVariables!A:B,2,FALSE)</f>
        <v>Aggregate Demand</v>
      </c>
      <c r="E189" s="8" t="s">
        <v>74</v>
      </c>
      <c r="F189" s="8" t="str">
        <f t="shared" si="8"/>
        <v>Contractionary monetary policy抑制经济，通过升利率，减少interest-sensitive private spending和AD</v>
      </c>
    </row>
    <row r="190" spans="1:6" x14ac:dyDescent="0.35">
      <c r="A190" s="8">
        <v>23</v>
      </c>
      <c r="B190" s="8" t="str">
        <f>VLOOKUP(A190,PolicyActions!A:B,2,FALSE)</f>
        <v>Open market sale of bonds</v>
      </c>
      <c r="C190" s="8">
        <v>2</v>
      </c>
      <c r="D190" s="8" t="str">
        <f>VLOOKUP(C190,EconomicVariables!A:B,2,FALSE)</f>
        <v>Price Level</v>
      </c>
      <c r="E190" s="8" t="s">
        <v>74</v>
      </c>
      <c r="F190" s="8" t="str">
        <f t="shared" si="8"/>
        <v>Contractionary monetary policy抑制经济，升利率，减少AD，见AD-AS diagram</v>
      </c>
    </row>
    <row r="191" spans="1:6" x14ac:dyDescent="0.35">
      <c r="A191" s="8">
        <v>23</v>
      </c>
      <c r="B191" s="8" t="str">
        <f>VLOOKUP(A191,PolicyActions!A:B,2,FALSE)</f>
        <v>Open market sale of bonds</v>
      </c>
      <c r="C191" s="8">
        <v>3</v>
      </c>
      <c r="D191" s="8" t="str">
        <f>VLOOKUP(C191,EconomicVariables!A:B,2,FALSE)</f>
        <v>Real GDP</v>
      </c>
      <c r="E191" s="8" t="s">
        <v>74</v>
      </c>
      <c r="F191" s="8" t="str">
        <f t="shared" si="8"/>
        <v>Contractionary monetary policy抑制经济，升利率，减少AD，见AD-AS diagram</v>
      </c>
    </row>
    <row r="192" spans="1:6" x14ac:dyDescent="0.35">
      <c r="A192" s="8">
        <v>23</v>
      </c>
      <c r="B192" s="8" t="str">
        <f>VLOOKUP(A192,PolicyActions!A:B,2,FALSE)</f>
        <v>Open market sale of bonds</v>
      </c>
      <c r="C192" s="8">
        <v>4</v>
      </c>
      <c r="D192" s="8" t="str">
        <f>VLOOKUP(C192,EconomicVariables!A:B,2,FALSE)</f>
        <v>Unemployment Rate</v>
      </c>
      <c r="E192" s="8" t="s">
        <v>75</v>
      </c>
      <c r="F192" s="8" t="str">
        <f t="shared" si="8"/>
        <v>失业率通常与real GDP反向。（Contractionary monetary policy抑制经济，升利率，减少AD，见AD-AS diagram）</v>
      </c>
    </row>
    <row r="193" spans="1:6" x14ac:dyDescent="0.35">
      <c r="A193" s="8">
        <v>23</v>
      </c>
      <c r="B193" s="8" t="str">
        <f>VLOOKUP(A193,PolicyActions!A:B,2,FALSE)</f>
        <v>Open market sale of bonds</v>
      </c>
      <c r="C193" s="8">
        <v>5</v>
      </c>
      <c r="D193" s="8" t="str">
        <f>VLOOKUP(C193,EconomicVariables!A:B,2,FALSE)</f>
        <v>Money Supply</v>
      </c>
      <c r="E193" s="8" t="s">
        <v>74</v>
      </c>
      <c r="F193" s="8" t="str">
        <f t="shared" si="8"/>
        <v>Contractionary monetary policy中sell bonds可减少monetary base，提高reserve requirement可降低money multiplier和money supply</v>
      </c>
    </row>
    <row r="194" spans="1:6" x14ac:dyDescent="0.35">
      <c r="A194" s="8">
        <v>23</v>
      </c>
      <c r="B194" s="8" t="str">
        <f>VLOOKUP(A194,PolicyActions!A:B,2,FALSE)</f>
        <v>Open market sale of bonds</v>
      </c>
      <c r="C194" s="8">
        <v>6</v>
      </c>
      <c r="D194" s="8" t="str">
        <f>VLOOKUP(C194,EconomicVariables!A:B,2,FALSE)</f>
        <v>Interest Rate</v>
      </c>
      <c r="E194" s="8" t="s">
        <v>75</v>
      </c>
      <c r="F194" s="8" t="str">
        <f t="shared" si="8"/>
        <v>Contractionary monetary policy减少money supply，提高利率（见money market diagram &amp; reserve market diagram)</v>
      </c>
    </row>
    <row r="195" spans="1:6" x14ac:dyDescent="0.35">
      <c r="A195" s="8">
        <v>23</v>
      </c>
      <c r="B195" s="8" t="str">
        <f>VLOOKUP(A195,PolicyActions!A:B,2,FALSE)</f>
        <v>Open market sale of bonds</v>
      </c>
      <c r="C195" s="8">
        <v>7</v>
      </c>
      <c r="D195" s="8" t="str">
        <f>VLOOKUP(C195,EconomicVariables!A:B,2,FALSE)</f>
        <v>Bond Price</v>
      </c>
      <c r="E195" s="8" t="s">
        <v>74</v>
      </c>
      <c r="F195" s="8" t="str">
        <f t="shared" si="8"/>
        <v>债券价格与利率反向。（Contractionary monetary policy抑制经济，升利率，减少AD）</v>
      </c>
    </row>
    <row r="196" spans="1:6" x14ac:dyDescent="0.35">
      <c r="A196" s="8">
        <v>23</v>
      </c>
      <c r="B196" s="8" t="str">
        <f>VLOOKUP(A196,PolicyActions!A:B,2,FALSE)</f>
        <v>Open market sale of bonds</v>
      </c>
      <c r="C196" s="8">
        <v>8</v>
      </c>
      <c r="D196" s="8" t="str">
        <f>VLOOKUP(C196,EconomicVariables!A:B,2,FALSE)</f>
        <v>Interest-sensitive Private Spending (Investment &amp; Consumption)</v>
      </c>
      <c r="E196" s="8" t="s">
        <v>74</v>
      </c>
      <c r="F196" s="8" t="str">
        <f t="shared" si="8"/>
        <v>Interest-sensitive Private Spending (Investment &amp; Consumption)与利率反向。（Contractionary monetary policy抑制经济，升利率，减少AD）</v>
      </c>
    </row>
    <row r="197" spans="1:6" x14ac:dyDescent="0.35">
      <c r="A197" s="8">
        <v>23</v>
      </c>
      <c r="B197" s="8" t="str">
        <f>VLOOKUP(A197,PolicyActions!A:B,2,FALSE)</f>
        <v>Open market sale of bonds</v>
      </c>
      <c r="C197" s="8">
        <v>9</v>
      </c>
      <c r="D197" s="8" t="str">
        <f>VLOOKUP(C197,EconomicVariables!A:B,2,FALSE)</f>
        <v>Economic Growth (LRAS, PPC)</v>
      </c>
      <c r="E197" s="8" t="s">
        <v>74</v>
      </c>
      <c r="F197" s="8" t="str">
        <f t="shared" si="8"/>
        <v>Investment与利率反向，长期会影响capital stock资本存量（属于资源数量）和潜在产能。（Contractionary monetary policy抑制经济，升利率，减少AD）</v>
      </c>
    </row>
    <row r="198" spans="1:6" x14ac:dyDescent="0.35">
      <c r="A198" s="8">
        <v>24</v>
      </c>
      <c r="B198" s="8" t="str">
        <f>VLOOKUP(A198,PolicyActions!A:B,2,FALSE)</f>
        <v>Increase discount rate</v>
      </c>
      <c r="C198" s="8">
        <v>1</v>
      </c>
      <c r="D198" s="8" t="str">
        <f>VLOOKUP(C198,EconomicVariables!A:B,2,FALSE)</f>
        <v>Aggregate Demand</v>
      </c>
      <c r="E198" s="8" t="s">
        <v>74</v>
      </c>
      <c r="F198" s="8" t="str">
        <f>F189</f>
        <v>Contractionary monetary policy抑制经济，通过升利率，减少interest-sensitive private spending和AD</v>
      </c>
    </row>
    <row r="199" spans="1:6" x14ac:dyDescent="0.35">
      <c r="A199" s="8">
        <v>24</v>
      </c>
      <c r="B199" s="8" t="str">
        <f>VLOOKUP(A199,PolicyActions!A:B,2,FALSE)</f>
        <v>Increase discount rate</v>
      </c>
      <c r="C199" s="8">
        <v>2</v>
      </c>
      <c r="D199" s="8" t="str">
        <f>VLOOKUP(C199,EconomicVariables!A:B,2,FALSE)</f>
        <v>Price Level</v>
      </c>
      <c r="E199" s="8" t="s">
        <v>74</v>
      </c>
      <c r="F199" s="8" t="str">
        <f t="shared" si="8"/>
        <v>Contractionary monetary policy抑制经济，升利率，减少AD，见AD-AS diagram</v>
      </c>
    </row>
    <row r="200" spans="1:6" x14ac:dyDescent="0.35">
      <c r="A200" s="8">
        <v>24</v>
      </c>
      <c r="B200" s="8" t="str">
        <f>VLOOKUP(A200,PolicyActions!A:B,2,FALSE)</f>
        <v>Increase discount rate</v>
      </c>
      <c r="C200" s="8">
        <v>3</v>
      </c>
      <c r="D200" s="8" t="str">
        <f>VLOOKUP(C200,EconomicVariables!A:B,2,FALSE)</f>
        <v>Real GDP</v>
      </c>
      <c r="E200" s="8" t="s">
        <v>74</v>
      </c>
      <c r="F200" s="8" t="str">
        <f t="shared" si="8"/>
        <v>Contractionary monetary policy抑制经济，升利率，减少AD，见AD-AS diagram</v>
      </c>
    </row>
    <row r="201" spans="1:6" x14ac:dyDescent="0.35">
      <c r="A201" s="8">
        <v>24</v>
      </c>
      <c r="B201" s="8" t="str">
        <f>VLOOKUP(A201,PolicyActions!A:B,2,FALSE)</f>
        <v>Increase discount rate</v>
      </c>
      <c r="C201" s="8">
        <v>4</v>
      </c>
      <c r="D201" s="8" t="str">
        <f>VLOOKUP(C201,EconomicVariables!A:B,2,FALSE)</f>
        <v>Unemployment Rate</v>
      </c>
      <c r="E201" s="8" t="s">
        <v>75</v>
      </c>
      <c r="F201" s="8" t="str">
        <f t="shared" si="8"/>
        <v>失业率通常与real GDP反向。（Contractionary monetary policy抑制经济，升利率，减少AD，见AD-AS diagram）</v>
      </c>
    </row>
    <row r="202" spans="1:6" x14ac:dyDescent="0.35">
      <c r="A202" s="8">
        <v>24</v>
      </c>
      <c r="B202" s="8" t="str">
        <f>VLOOKUP(A202,PolicyActions!A:B,2,FALSE)</f>
        <v>Increase discount rate</v>
      </c>
      <c r="C202" s="8">
        <v>6</v>
      </c>
      <c r="D202" s="8" t="str">
        <f>VLOOKUP(C202,EconomicVariables!A:B,2,FALSE)</f>
        <v>Interest Rate</v>
      </c>
      <c r="E202" s="8" t="s">
        <v>75</v>
      </c>
      <c r="F202" s="10" t="s">
        <v>151</v>
      </c>
    </row>
    <row r="203" spans="1:6" x14ac:dyDescent="0.35">
      <c r="A203" s="8">
        <v>24</v>
      </c>
      <c r="B203" s="8" t="str">
        <f>VLOOKUP(A203,PolicyActions!A:B,2,FALSE)</f>
        <v>Increase discount rate</v>
      </c>
      <c r="C203" s="8">
        <v>7</v>
      </c>
      <c r="D203" s="8" t="str">
        <f>VLOOKUP(C203,EconomicVariables!A:B,2,FALSE)</f>
        <v>Bond Price</v>
      </c>
      <c r="E203" s="8" t="s">
        <v>74</v>
      </c>
      <c r="F203" s="8" t="str">
        <f>F195</f>
        <v>债券价格与利率反向。（Contractionary monetary policy抑制经济，升利率，减少AD）</v>
      </c>
    </row>
    <row r="204" spans="1:6" x14ac:dyDescent="0.35">
      <c r="A204" s="8">
        <v>24</v>
      </c>
      <c r="B204" s="8" t="str">
        <f>VLOOKUP(A204,PolicyActions!A:B,2,FALSE)</f>
        <v>Increase discount rate</v>
      </c>
      <c r="C204" s="8">
        <v>8</v>
      </c>
      <c r="D204" s="8" t="str">
        <f>VLOOKUP(C204,EconomicVariables!A:B,2,FALSE)</f>
        <v>Interest-sensitive Private Spending (Investment &amp; Consumption)</v>
      </c>
      <c r="E204" s="8" t="s">
        <v>74</v>
      </c>
      <c r="F204" s="8" t="str">
        <f t="shared" ref="F204:F221" si="9">F196</f>
        <v>Interest-sensitive Private Spending (Investment &amp; Consumption)与利率反向。（Contractionary monetary policy抑制经济，升利率，减少AD）</v>
      </c>
    </row>
    <row r="205" spans="1:6" x14ac:dyDescent="0.35">
      <c r="A205" s="8">
        <v>24</v>
      </c>
      <c r="B205" s="8" t="str">
        <f>VLOOKUP(A205,PolicyActions!A:B,2,FALSE)</f>
        <v>Increase discount rate</v>
      </c>
      <c r="C205" s="8">
        <v>9</v>
      </c>
      <c r="D205" s="8" t="str">
        <f>VLOOKUP(C205,EconomicVariables!A:B,2,FALSE)</f>
        <v>Economic Growth (LRAS, PPC)</v>
      </c>
      <c r="E205" s="8" t="s">
        <v>74</v>
      </c>
      <c r="F205" s="8" t="str">
        <f t="shared" si="9"/>
        <v>Investment与利率反向，长期会影响capital stock资本存量（属于资源数量）和潜在产能。（Contractionary monetary policy抑制经济，升利率，减少AD）</v>
      </c>
    </row>
    <row r="206" spans="1:6" x14ac:dyDescent="0.35">
      <c r="A206" s="8">
        <v>25</v>
      </c>
      <c r="B206" s="8" t="str">
        <f>VLOOKUP(A206,PolicyActions!A:B,2,FALSE)</f>
        <v>Increase interest on reserves</v>
      </c>
      <c r="C206" s="8">
        <v>1</v>
      </c>
      <c r="D206" s="8" t="str">
        <f>VLOOKUP(C206,EconomicVariables!A:B,2,FALSE)</f>
        <v>Aggregate Demand</v>
      </c>
      <c r="E206" s="8" t="s">
        <v>74</v>
      </c>
      <c r="F206" s="8" t="str">
        <f t="shared" si="9"/>
        <v>Contractionary monetary policy抑制经济，通过升利率，减少interest-sensitive private spending和AD</v>
      </c>
    </row>
    <row r="207" spans="1:6" x14ac:dyDescent="0.35">
      <c r="A207" s="8">
        <v>25</v>
      </c>
      <c r="B207" s="8" t="str">
        <f>VLOOKUP(A207,PolicyActions!A:B,2,FALSE)</f>
        <v>Increase interest on reserves</v>
      </c>
      <c r="C207" s="8">
        <v>2</v>
      </c>
      <c r="D207" s="8" t="str">
        <f>VLOOKUP(C207,EconomicVariables!A:B,2,FALSE)</f>
        <v>Price Level</v>
      </c>
      <c r="E207" s="8" t="s">
        <v>74</v>
      </c>
      <c r="F207" s="8" t="str">
        <f t="shared" si="9"/>
        <v>Contractionary monetary policy抑制经济，升利率，减少AD，见AD-AS diagram</v>
      </c>
    </row>
    <row r="208" spans="1:6" x14ac:dyDescent="0.35">
      <c r="A208" s="8">
        <v>25</v>
      </c>
      <c r="B208" s="8" t="str">
        <f>VLOOKUP(A208,PolicyActions!A:B,2,FALSE)</f>
        <v>Increase interest on reserves</v>
      </c>
      <c r="C208" s="8">
        <v>3</v>
      </c>
      <c r="D208" s="8" t="str">
        <f>VLOOKUP(C208,EconomicVariables!A:B,2,FALSE)</f>
        <v>Real GDP</v>
      </c>
      <c r="E208" s="8" t="s">
        <v>74</v>
      </c>
      <c r="F208" s="8" t="str">
        <f t="shared" si="9"/>
        <v>Contractionary monetary policy抑制经济，升利率，减少AD，见AD-AS diagram</v>
      </c>
    </row>
    <row r="209" spans="1:6" x14ac:dyDescent="0.35">
      <c r="A209" s="8">
        <v>25</v>
      </c>
      <c r="B209" s="8" t="str">
        <f>VLOOKUP(A209,PolicyActions!A:B,2,FALSE)</f>
        <v>Increase interest on reserves</v>
      </c>
      <c r="C209" s="8">
        <v>4</v>
      </c>
      <c r="D209" s="8" t="str">
        <f>VLOOKUP(C209,EconomicVariables!A:B,2,FALSE)</f>
        <v>Unemployment Rate</v>
      </c>
      <c r="E209" s="8" t="s">
        <v>75</v>
      </c>
      <c r="F209" s="8" t="str">
        <f t="shared" si="9"/>
        <v>失业率通常与real GDP反向。（Contractionary monetary policy抑制经济，升利率，减少AD，见AD-AS diagram）</v>
      </c>
    </row>
    <row r="210" spans="1:6" x14ac:dyDescent="0.35">
      <c r="A210" s="8">
        <v>25</v>
      </c>
      <c r="B210" s="8" t="str">
        <f>VLOOKUP(A210,PolicyActions!A:B,2,FALSE)</f>
        <v>Increase interest on reserves</v>
      </c>
      <c r="C210" s="8">
        <v>6</v>
      </c>
      <c r="D210" s="8" t="str">
        <f>VLOOKUP(C210,EconomicVariables!A:B,2,FALSE)</f>
        <v>Interest Rate</v>
      </c>
      <c r="E210" s="8" t="s">
        <v>75</v>
      </c>
      <c r="F210" s="8" t="str">
        <f t="shared" si="9"/>
        <v>Contractionary monetary policy升利率。Discount rate（federal funds rate上限）和IOR（federal funds rate下限）属于administered interest rate，央行可直接设定，用于调控市场利率的基准federal funds rate（见reserve market diagram)。 这三者都属于policy rate。</v>
      </c>
    </row>
    <row r="211" spans="1:6" x14ac:dyDescent="0.35">
      <c r="A211" s="8">
        <v>25</v>
      </c>
      <c r="B211" s="8" t="str">
        <f>VLOOKUP(A211,PolicyActions!A:B,2,FALSE)</f>
        <v>Increase interest on reserves</v>
      </c>
      <c r="C211" s="8">
        <v>7</v>
      </c>
      <c r="D211" s="8" t="str">
        <f>VLOOKUP(C211,EconomicVariables!A:B,2,FALSE)</f>
        <v>Bond Price</v>
      </c>
      <c r="E211" s="8" t="s">
        <v>74</v>
      </c>
      <c r="F211" s="8" t="str">
        <f t="shared" si="9"/>
        <v>债券价格与利率反向。（Contractionary monetary policy抑制经济，升利率，减少AD）</v>
      </c>
    </row>
    <row r="212" spans="1:6" x14ac:dyDescent="0.35">
      <c r="A212" s="8">
        <v>25</v>
      </c>
      <c r="B212" s="8" t="str">
        <f>VLOOKUP(A212,PolicyActions!A:B,2,FALSE)</f>
        <v>Increase interest on reserves</v>
      </c>
      <c r="C212" s="8">
        <v>8</v>
      </c>
      <c r="D212" s="8" t="str">
        <f>VLOOKUP(C212,EconomicVariables!A:B,2,FALSE)</f>
        <v>Interest-sensitive Private Spending (Investment &amp; Consumption)</v>
      </c>
      <c r="E212" s="8" t="s">
        <v>74</v>
      </c>
      <c r="F212" s="8" t="str">
        <f t="shared" si="9"/>
        <v>Interest-sensitive Private Spending (Investment &amp; Consumption)与利率反向。（Contractionary monetary policy抑制经济，升利率，减少AD）</v>
      </c>
    </row>
    <row r="213" spans="1:6" x14ac:dyDescent="0.35">
      <c r="A213" s="8">
        <v>25</v>
      </c>
      <c r="B213" s="8" t="str">
        <f>VLOOKUP(A213,PolicyActions!A:B,2,FALSE)</f>
        <v>Increase interest on reserves</v>
      </c>
      <c r="C213" s="8">
        <v>9</v>
      </c>
      <c r="D213" s="8" t="str">
        <f>VLOOKUP(C213,EconomicVariables!A:B,2,FALSE)</f>
        <v>Economic Growth (LRAS, PPC)</v>
      </c>
      <c r="E213" s="8" t="s">
        <v>74</v>
      </c>
      <c r="F213" s="8" t="str">
        <f t="shared" si="9"/>
        <v>Investment与利率反向，长期会影响capital stock资本存量（属于资源数量）和潜在产能。（Contractionary monetary policy抑制经济，升利率，减少AD）</v>
      </c>
    </row>
    <row r="214" spans="1:6" x14ac:dyDescent="0.35">
      <c r="A214" s="8">
        <v>26</v>
      </c>
      <c r="B214" s="8" t="str">
        <f>VLOOKUP(A214,PolicyActions!A:B,2,FALSE)</f>
        <v>Increase administered interest rates</v>
      </c>
      <c r="C214" s="8">
        <v>1</v>
      </c>
      <c r="D214" s="8" t="str">
        <f>VLOOKUP(C214,EconomicVariables!A:B,2,FALSE)</f>
        <v>Aggregate Demand</v>
      </c>
      <c r="E214" s="8" t="s">
        <v>74</v>
      </c>
      <c r="F214" s="8" t="str">
        <f t="shared" si="9"/>
        <v>Contractionary monetary policy抑制经济，通过升利率，减少interest-sensitive private spending和AD</v>
      </c>
    </row>
    <row r="215" spans="1:6" x14ac:dyDescent="0.35">
      <c r="A215" s="8">
        <v>26</v>
      </c>
      <c r="B215" s="8" t="str">
        <f>VLOOKUP(A215,PolicyActions!A:B,2,FALSE)</f>
        <v>Increase administered interest rates</v>
      </c>
      <c r="C215" s="8">
        <v>2</v>
      </c>
      <c r="D215" s="8" t="str">
        <f>VLOOKUP(C215,EconomicVariables!A:B,2,FALSE)</f>
        <v>Price Level</v>
      </c>
      <c r="E215" s="8" t="s">
        <v>74</v>
      </c>
      <c r="F215" s="8" t="str">
        <f t="shared" si="9"/>
        <v>Contractionary monetary policy抑制经济，升利率，减少AD，见AD-AS diagram</v>
      </c>
    </row>
    <row r="216" spans="1:6" x14ac:dyDescent="0.35">
      <c r="A216" s="8">
        <v>26</v>
      </c>
      <c r="B216" s="8" t="str">
        <f>VLOOKUP(A216,PolicyActions!A:B,2,FALSE)</f>
        <v>Increase administered interest rates</v>
      </c>
      <c r="C216" s="8">
        <v>3</v>
      </c>
      <c r="D216" s="8" t="str">
        <f>VLOOKUP(C216,EconomicVariables!A:B,2,FALSE)</f>
        <v>Real GDP</v>
      </c>
      <c r="E216" s="8" t="s">
        <v>74</v>
      </c>
      <c r="F216" s="8" t="str">
        <f t="shared" si="9"/>
        <v>Contractionary monetary policy抑制经济，升利率，减少AD，见AD-AS diagram</v>
      </c>
    </row>
    <row r="217" spans="1:6" x14ac:dyDescent="0.35">
      <c r="A217" s="8">
        <v>26</v>
      </c>
      <c r="B217" s="8" t="str">
        <f>VLOOKUP(A217,PolicyActions!A:B,2,FALSE)</f>
        <v>Increase administered interest rates</v>
      </c>
      <c r="C217" s="8">
        <v>4</v>
      </c>
      <c r="D217" s="8" t="str">
        <f>VLOOKUP(C217,EconomicVariables!A:B,2,FALSE)</f>
        <v>Unemployment Rate</v>
      </c>
      <c r="E217" s="8" t="s">
        <v>75</v>
      </c>
      <c r="F217" s="8" t="str">
        <f t="shared" si="9"/>
        <v>失业率通常与real GDP反向。（Contractionary monetary policy抑制经济，升利率，减少AD，见AD-AS diagram）</v>
      </c>
    </row>
    <row r="218" spans="1:6" x14ac:dyDescent="0.35">
      <c r="A218" s="8">
        <v>26</v>
      </c>
      <c r="B218" s="8" t="str">
        <f>VLOOKUP(A218,PolicyActions!A:B,2,FALSE)</f>
        <v>Increase administered interest rates</v>
      </c>
      <c r="C218" s="8">
        <v>6</v>
      </c>
      <c r="D218" s="8" t="str">
        <f>VLOOKUP(C218,EconomicVariables!A:B,2,FALSE)</f>
        <v>Interest Rate</v>
      </c>
      <c r="E218" s="8" t="s">
        <v>75</v>
      </c>
      <c r="F218" s="8" t="str">
        <f t="shared" si="9"/>
        <v>Contractionary monetary policy升利率。Discount rate（federal funds rate上限）和IOR（federal funds rate下限）属于administered interest rate，央行可直接设定，用于调控市场利率的基准federal funds rate（见reserve market diagram)。 这三者都属于policy rate。</v>
      </c>
    </row>
    <row r="219" spans="1:6" x14ac:dyDescent="0.35">
      <c r="A219" s="8">
        <v>26</v>
      </c>
      <c r="B219" s="8" t="str">
        <f>VLOOKUP(A219,PolicyActions!A:B,2,FALSE)</f>
        <v>Increase administered interest rates</v>
      </c>
      <c r="C219" s="8">
        <v>7</v>
      </c>
      <c r="D219" s="8" t="str">
        <f>VLOOKUP(C219,EconomicVariables!A:B,2,FALSE)</f>
        <v>Bond Price</v>
      </c>
      <c r="E219" s="8" t="s">
        <v>74</v>
      </c>
      <c r="F219" s="8" t="str">
        <f t="shared" si="9"/>
        <v>债券价格与利率反向。（Contractionary monetary policy抑制经济，升利率，减少AD）</v>
      </c>
    </row>
    <row r="220" spans="1:6" x14ac:dyDescent="0.35">
      <c r="A220" s="8">
        <v>26</v>
      </c>
      <c r="B220" s="8" t="str">
        <f>VLOOKUP(A220,PolicyActions!A:B,2,FALSE)</f>
        <v>Increase administered interest rates</v>
      </c>
      <c r="C220" s="8">
        <v>8</v>
      </c>
      <c r="D220" s="8" t="str">
        <f>VLOOKUP(C220,EconomicVariables!A:B,2,FALSE)</f>
        <v>Interest-sensitive Private Spending (Investment &amp; Consumption)</v>
      </c>
      <c r="E220" s="8" t="s">
        <v>74</v>
      </c>
      <c r="F220" s="8" t="str">
        <f t="shared" si="9"/>
        <v>Interest-sensitive Private Spending (Investment &amp; Consumption)与利率反向。（Contractionary monetary policy抑制经济，升利率，减少AD）</v>
      </c>
    </row>
    <row r="221" spans="1:6" x14ac:dyDescent="0.35">
      <c r="A221" s="8">
        <v>26</v>
      </c>
      <c r="B221" s="8" t="str">
        <f>VLOOKUP(A221,PolicyActions!A:B,2,FALSE)</f>
        <v>Increase administered interest rates</v>
      </c>
      <c r="C221" s="8">
        <v>9</v>
      </c>
      <c r="D221" s="8" t="str">
        <f>VLOOKUP(C221,EconomicVariables!A:B,2,FALSE)</f>
        <v>Economic Growth (LRAS, PPC)</v>
      </c>
      <c r="E221" s="8" t="s">
        <v>74</v>
      </c>
      <c r="F221" s="8" t="str">
        <f t="shared" si="9"/>
        <v>Investment与利率反向，长期会影响capital stock资本存量（属于资源数量）和潜在产能。（Contractionary monetary policy抑制经济，升利率，减少AD）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3541-F951-43A4-B857-E01380A8F874}">
  <dimension ref="A1:C6"/>
  <sheetViews>
    <sheetView workbookViewId="0">
      <selection activeCell="B3" sqref="B3"/>
    </sheetView>
  </sheetViews>
  <sheetFormatPr defaultRowHeight="14.15" x14ac:dyDescent="0.35"/>
  <cols>
    <col min="1" max="1" width="3.140625" style="2" bestFit="1" customWidth="1"/>
    <col min="2" max="2" width="23.42578125" style="2" bestFit="1" customWidth="1"/>
    <col min="3" max="3" width="69" style="2" bestFit="1" customWidth="1"/>
    <col min="4" max="16384" width="9.140625" style="2"/>
  </cols>
  <sheetData>
    <row r="1" spans="1:3" x14ac:dyDescent="0.35">
      <c r="A1" s="1" t="s">
        <v>0</v>
      </c>
      <c r="B1" s="1" t="s">
        <v>32</v>
      </c>
      <c r="C1" s="1" t="s">
        <v>51</v>
      </c>
    </row>
    <row r="2" spans="1:3" x14ac:dyDescent="0.35">
      <c r="A2" s="2">
        <v>1</v>
      </c>
      <c r="B2" s="2" t="s">
        <v>52</v>
      </c>
      <c r="C2" s="2" t="s">
        <v>53</v>
      </c>
    </row>
    <row r="3" spans="1:3" x14ac:dyDescent="0.35">
      <c r="A3" s="2">
        <v>2</v>
      </c>
      <c r="B3" s="2" t="s">
        <v>54</v>
      </c>
      <c r="C3" s="2" t="s">
        <v>55</v>
      </c>
    </row>
    <row r="4" spans="1:3" x14ac:dyDescent="0.35">
      <c r="A4" s="2">
        <v>3</v>
      </c>
      <c r="B4" s="2" t="s">
        <v>56</v>
      </c>
      <c r="C4" s="2" t="s">
        <v>57</v>
      </c>
    </row>
    <row r="5" spans="1:3" x14ac:dyDescent="0.35">
      <c r="A5" s="2">
        <v>4</v>
      </c>
      <c r="B5" s="2" t="s">
        <v>58</v>
      </c>
      <c r="C5" s="2" t="s">
        <v>59</v>
      </c>
    </row>
    <row r="6" spans="1:3" x14ac:dyDescent="0.35">
      <c r="A6" s="2">
        <v>5</v>
      </c>
      <c r="B6" s="2" t="s">
        <v>60</v>
      </c>
      <c r="C6" s="2" t="s">
        <v>61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68BA-6A04-4F7D-B8FF-7A56EBFF0DD1}">
  <dimension ref="A1:L51"/>
  <sheetViews>
    <sheetView tabSelected="1" workbookViewId="0">
      <selection activeCell="H1" sqref="H1"/>
    </sheetView>
  </sheetViews>
  <sheetFormatPr defaultRowHeight="14.15" x14ac:dyDescent="0.35"/>
  <cols>
    <col min="1" max="1" width="3.140625" style="2" bestFit="1" customWidth="1"/>
    <col min="2" max="2" width="45.5" style="2" customWidth="1"/>
    <col min="3" max="3" width="21.42578125" style="2" bestFit="1" customWidth="1"/>
    <col min="4" max="4" width="25.35546875" style="2" bestFit="1" customWidth="1"/>
    <col min="5" max="5" width="9.140625" style="2"/>
    <col min="6" max="6" width="28.35546875" style="2" bestFit="1" customWidth="1"/>
    <col min="7" max="16384" width="9.140625" style="2"/>
  </cols>
  <sheetData>
    <row r="1" spans="1:12" x14ac:dyDescent="0.35">
      <c r="A1" s="1" t="s">
        <v>0</v>
      </c>
      <c r="B1" s="1" t="s">
        <v>62</v>
      </c>
      <c r="C1" s="1" t="s">
        <v>63</v>
      </c>
      <c r="D1" s="1" t="s">
        <v>64</v>
      </c>
      <c r="E1" s="1" t="s">
        <v>47</v>
      </c>
      <c r="F1" s="1" t="s">
        <v>48</v>
      </c>
      <c r="H1" s="2">
        <v>35</v>
      </c>
      <c r="I1" s="2" t="s">
        <v>152</v>
      </c>
      <c r="J1" s="2" t="s">
        <v>54</v>
      </c>
      <c r="K1" s="2" t="s">
        <v>101</v>
      </c>
      <c r="L1" s="2" t="s">
        <v>75</v>
      </c>
    </row>
    <row r="2" spans="1:12" x14ac:dyDescent="0.35">
      <c r="A2" s="2">
        <v>1</v>
      </c>
      <c r="B2" s="2" t="s">
        <v>69</v>
      </c>
      <c r="C2" s="2" t="s">
        <v>52</v>
      </c>
      <c r="D2" s="2" t="s">
        <v>34</v>
      </c>
      <c r="E2" s="2" t="s">
        <v>50</v>
      </c>
    </row>
    <row r="3" spans="1:12" x14ac:dyDescent="0.35">
      <c r="A3" s="2">
        <v>2</v>
      </c>
      <c r="B3" s="2" t="s">
        <v>77</v>
      </c>
      <c r="C3" s="2" t="s">
        <v>52</v>
      </c>
      <c r="D3" s="2" t="s">
        <v>34</v>
      </c>
      <c r="E3" s="2" t="s">
        <v>75</v>
      </c>
    </row>
    <row r="4" spans="1:12" x14ac:dyDescent="0.35">
      <c r="A4" s="2">
        <v>3</v>
      </c>
      <c r="B4" s="2" t="s">
        <v>78</v>
      </c>
      <c r="C4" s="2" t="s">
        <v>52</v>
      </c>
      <c r="D4" s="2" t="s">
        <v>34</v>
      </c>
      <c r="E4" s="2" t="s">
        <v>75</v>
      </c>
    </row>
    <row r="5" spans="1:12" x14ac:dyDescent="0.35">
      <c r="A5" s="2">
        <v>4</v>
      </c>
      <c r="B5" s="2" t="s">
        <v>81</v>
      </c>
      <c r="C5" s="2" t="s">
        <v>52</v>
      </c>
      <c r="D5" s="2" t="s">
        <v>34</v>
      </c>
      <c r="E5" s="2" t="s">
        <v>74</v>
      </c>
    </row>
    <row r="6" spans="1:12" x14ac:dyDescent="0.35">
      <c r="A6" s="2">
        <v>5</v>
      </c>
      <c r="B6" s="2" t="s">
        <v>82</v>
      </c>
      <c r="C6" s="2" t="s">
        <v>52</v>
      </c>
      <c r="D6" s="2" t="s">
        <v>34</v>
      </c>
      <c r="E6" s="2" t="s">
        <v>74</v>
      </c>
    </row>
    <row r="7" spans="1:12" x14ac:dyDescent="0.35">
      <c r="A7" s="2">
        <v>6</v>
      </c>
      <c r="B7" s="2" t="s">
        <v>83</v>
      </c>
      <c r="C7" s="2" t="s">
        <v>52</v>
      </c>
      <c r="D7" s="2" t="s">
        <v>34</v>
      </c>
      <c r="E7" s="2" t="s">
        <v>75</v>
      </c>
    </row>
    <row r="8" spans="1:12" x14ac:dyDescent="0.35">
      <c r="A8" s="2">
        <v>7</v>
      </c>
      <c r="B8" s="2" t="s">
        <v>84</v>
      </c>
      <c r="C8" s="2" t="s">
        <v>52</v>
      </c>
      <c r="D8" s="2" t="s">
        <v>34</v>
      </c>
      <c r="E8" s="2" t="s">
        <v>75</v>
      </c>
    </row>
    <row r="9" spans="1:12" x14ac:dyDescent="0.35">
      <c r="A9" s="2">
        <v>8</v>
      </c>
      <c r="B9" s="2" t="s">
        <v>85</v>
      </c>
      <c r="C9" s="2" t="s">
        <v>52</v>
      </c>
      <c r="D9" s="2" t="s">
        <v>34</v>
      </c>
      <c r="E9" s="2" t="s">
        <v>75</v>
      </c>
    </row>
    <row r="10" spans="1:12" x14ac:dyDescent="0.35">
      <c r="A10" s="2">
        <v>9</v>
      </c>
      <c r="B10" s="2" t="s">
        <v>86</v>
      </c>
      <c r="C10" s="2" t="s">
        <v>52</v>
      </c>
      <c r="D10" s="2" t="s">
        <v>34</v>
      </c>
      <c r="E10" s="2" t="s">
        <v>74</v>
      </c>
    </row>
    <row r="11" spans="1:12" x14ac:dyDescent="0.35">
      <c r="A11" s="2">
        <v>10</v>
      </c>
      <c r="B11" s="2" t="s">
        <v>90</v>
      </c>
      <c r="C11" s="2" t="s">
        <v>52</v>
      </c>
      <c r="D11" s="2" t="s">
        <v>34</v>
      </c>
      <c r="E11" s="2" t="s">
        <v>75</v>
      </c>
    </row>
    <row r="12" spans="1:12" x14ac:dyDescent="0.35">
      <c r="A12" s="2">
        <v>11</v>
      </c>
      <c r="B12" s="2" t="s">
        <v>93</v>
      </c>
      <c r="C12" s="2" t="s">
        <v>52</v>
      </c>
      <c r="D12" s="2" t="s">
        <v>34</v>
      </c>
      <c r="E12" s="2" t="s">
        <v>75</v>
      </c>
    </row>
    <row r="13" spans="1:12" x14ac:dyDescent="0.35">
      <c r="A13" s="2">
        <v>12</v>
      </c>
      <c r="B13" s="2" t="s">
        <v>96</v>
      </c>
      <c r="C13" s="2" t="s">
        <v>52</v>
      </c>
      <c r="D13" s="2" t="s">
        <v>34</v>
      </c>
      <c r="E13" s="2" t="s">
        <v>75</v>
      </c>
    </row>
    <row r="14" spans="1:12" x14ac:dyDescent="0.35">
      <c r="A14" s="2">
        <v>13</v>
      </c>
      <c r="B14" s="2" t="s">
        <v>88</v>
      </c>
      <c r="C14" s="2" t="s">
        <v>52</v>
      </c>
      <c r="D14" s="2" t="s">
        <v>79</v>
      </c>
      <c r="E14" s="2" t="s">
        <v>74</v>
      </c>
    </row>
    <row r="15" spans="1:12" x14ac:dyDescent="0.35">
      <c r="A15" s="2">
        <v>14</v>
      </c>
      <c r="B15" s="2" t="s">
        <v>87</v>
      </c>
      <c r="C15" s="2" t="s">
        <v>52</v>
      </c>
      <c r="D15" s="2" t="s">
        <v>79</v>
      </c>
      <c r="E15" s="2" t="s">
        <v>74</v>
      </c>
    </row>
    <row r="16" spans="1:12" x14ac:dyDescent="0.35">
      <c r="A16" s="2">
        <v>15</v>
      </c>
      <c r="B16" s="2" t="s">
        <v>80</v>
      </c>
      <c r="C16" s="2" t="s">
        <v>52</v>
      </c>
      <c r="D16" s="2" t="s">
        <v>79</v>
      </c>
      <c r="E16" s="2" t="s">
        <v>74</v>
      </c>
    </row>
    <row r="17" spans="1:5" x14ac:dyDescent="0.35">
      <c r="A17" s="2">
        <v>16</v>
      </c>
      <c r="B17" s="2" t="s">
        <v>89</v>
      </c>
      <c r="C17" s="2" t="s">
        <v>52</v>
      </c>
      <c r="D17" s="2" t="s">
        <v>79</v>
      </c>
      <c r="E17" s="2" t="s">
        <v>75</v>
      </c>
    </row>
    <row r="18" spans="1:5" x14ac:dyDescent="0.35">
      <c r="A18" s="2">
        <v>17</v>
      </c>
      <c r="B18" s="2" t="s">
        <v>91</v>
      </c>
      <c r="C18" s="2" t="s">
        <v>52</v>
      </c>
      <c r="D18" s="2" t="s">
        <v>79</v>
      </c>
      <c r="E18" s="2" t="s">
        <v>75</v>
      </c>
    </row>
    <row r="19" spans="1:5" x14ac:dyDescent="0.35">
      <c r="A19" s="2">
        <v>18</v>
      </c>
      <c r="B19" s="2" t="s">
        <v>93</v>
      </c>
      <c r="C19" s="2" t="s">
        <v>52</v>
      </c>
      <c r="D19" s="2" t="s">
        <v>79</v>
      </c>
      <c r="E19" s="2" t="s">
        <v>74</v>
      </c>
    </row>
    <row r="20" spans="1:5" x14ac:dyDescent="0.35">
      <c r="A20" s="2">
        <v>19</v>
      </c>
      <c r="B20" s="2" t="s">
        <v>94</v>
      </c>
      <c r="C20" s="2" t="s">
        <v>52</v>
      </c>
      <c r="D20" s="2" t="s">
        <v>79</v>
      </c>
      <c r="E20" s="2" t="s">
        <v>75</v>
      </c>
    </row>
    <row r="21" spans="1:5" x14ac:dyDescent="0.35">
      <c r="A21" s="2">
        <v>20</v>
      </c>
      <c r="B21" s="2" t="s">
        <v>95</v>
      </c>
      <c r="C21" s="2" t="s">
        <v>52</v>
      </c>
      <c r="D21" s="2" t="s">
        <v>79</v>
      </c>
      <c r="E21" s="2" t="s">
        <v>75</v>
      </c>
    </row>
    <row r="22" spans="1:5" x14ac:dyDescent="0.35">
      <c r="A22" s="2">
        <v>21</v>
      </c>
      <c r="B22" s="2" t="s">
        <v>97</v>
      </c>
      <c r="C22" s="2" t="s">
        <v>52</v>
      </c>
      <c r="D22" s="2" t="s">
        <v>79</v>
      </c>
      <c r="E22" s="2" t="s">
        <v>74</v>
      </c>
    </row>
    <row r="23" spans="1:5" x14ac:dyDescent="0.35">
      <c r="A23" s="2">
        <v>22</v>
      </c>
      <c r="B23" s="2" t="s">
        <v>98</v>
      </c>
      <c r="C23" s="2" t="s">
        <v>52</v>
      </c>
      <c r="D23" s="2" t="s">
        <v>79</v>
      </c>
      <c r="E23" s="2" t="s">
        <v>75</v>
      </c>
    </row>
    <row r="24" spans="1:5" x14ac:dyDescent="0.35">
      <c r="A24" s="2">
        <v>23</v>
      </c>
      <c r="B24" s="2" t="s">
        <v>104</v>
      </c>
      <c r="C24" s="2" t="s">
        <v>52</v>
      </c>
      <c r="D24" s="2" t="s">
        <v>79</v>
      </c>
      <c r="E24" s="2" t="s">
        <v>75</v>
      </c>
    </row>
    <row r="25" spans="1:5" x14ac:dyDescent="0.35">
      <c r="A25" s="2">
        <v>24</v>
      </c>
      <c r="B25" s="2" t="s">
        <v>105</v>
      </c>
      <c r="C25" s="2" t="s">
        <v>52</v>
      </c>
      <c r="D25" s="2" t="s">
        <v>79</v>
      </c>
      <c r="E25" s="2" t="s">
        <v>74</v>
      </c>
    </row>
    <row r="26" spans="1:5" x14ac:dyDescent="0.35">
      <c r="A26" s="2">
        <v>25</v>
      </c>
      <c r="B26" s="2" t="s">
        <v>106</v>
      </c>
      <c r="C26" s="2" t="s">
        <v>52</v>
      </c>
      <c r="D26" s="2" t="s">
        <v>79</v>
      </c>
      <c r="E26" s="2" t="s">
        <v>74</v>
      </c>
    </row>
    <row r="27" spans="1:5" x14ac:dyDescent="0.35">
      <c r="A27" s="2">
        <v>26</v>
      </c>
      <c r="B27" s="2" t="s">
        <v>99</v>
      </c>
      <c r="C27" s="2" t="s">
        <v>52</v>
      </c>
      <c r="D27" s="2" t="s">
        <v>79</v>
      </c>
      <c r="E27" s="2" t="s">
        <v>75</v>
      </c>
    </row>
    <row r="28" spans="1:5" x14ac:dyDescent="0.35">
      <c r="A28" s="2">
        <v>27</v>
      </c>
      <c r="B28" s="2" t="s">
        <v>92</v>
      </c>
      <c r="C28" s="2" t="s">
        <v>52</v>
      </c>
      <c r="D28" s="2" t="s">
        <v>68</v>
      </c>
      <c r="E28" s="2" t="s">
        <v>49</v>
      </c>
    </row>
    <row r="29" spans="1:5" x14ac:dyDescent="0.35">
      <c r="A29" s="2">
        <v>28</v>
      </c>
      <c r="B29" s="2" t="s">
        <v>67</v>
      </c>
      <c r="C29" s="2" t="s">
        <v>52</v>
      </c>
      <c r="D29" s="2" t="s">
        <v>68</v>
      </c>
      <c r="E29" s="2" t="s">
        <v>49</v>
      </c>
    </row>
    <row r="30" spans="1:5" x14ac:dyDescent="0.35">
      <c r="A30" s="2">
        <v>29</v>
      </c>
      <c r="B30" s="2" t="s">
        <v>104</v>
      </c>
      <c r="C30" s="2" t="s">
        <v>52</v>
      </c>
      <c r="D30" s="2" t="s">
        <v>68</v>
      </c>
      <c r="E30" s="2" t="s">
        <v>49</v>
      </c>
    </row>
    <row r="31" spans="1:5" x14ac:dyDescent="0.35">
      <c r="A31" s="2">
        <v>30</v>
      </c>
      <c r="B31" s="2" t="s">
        <v>100</v>
      </c>
      <c r="C31" s="2" t="s">
        <v>54</v>
      </c>
      <c r="D31" s="2" t="s">
        <v>101</v>
      </c>
      <c r="E31" s="2" t="s">
        <v>75</v>
      </c>
    </row>
    <row r="32" spans="1:5" x14ac:dyDescent="0.35">
      <c r="A32" s="2">
        <v>31</v>
      </c>
      <c r="B32" s="2" t="s">
        <v>102</v>
      </c>
      <c r="C32" s="2" t="s">
        <v>54</v>
      </c>
      <c r="D32" s="2" t="s">
        <v>101</v>
      </c>
      <c r="E32" s="2" t="s">
        <v>74</v>
      </c>
    </row>
    <row r="33" spans="1:5" x14ac:dyDescent="0.35">
      <c r="A33" s="2">
        <v>32</v>
      </c>
      <c r="B33" s="2" t="s">
        <v>107</v>
      </c>
      <c r="C33" s="2" t="s">
        <v>54</v>
      </c>
      <c r="D33" s="2" t="s">
        <v>101</v>
      </c>
      <c r="E33" s="2" t="s">
        <v>75</v>
      </c>
    </row>
    <row r="34" spans="1:5" x14ac:dyDescent="0.35">
      <c r="A34" s="2">
        <v>33</v>
      </c>
      <c r="B34" s="2" t="s">
        <v>108</v>
      </c>
      <c r="C34" s="2" t="s">
        <v>54</v>
      </c>
      <c r="D34" s="2" t="s">
        <v>101</v>
      </c>
      <c r="E34" s="2" t="s">
        <v>74</v>
      </c>
    </row>
    <row r="35" spans="1:5" x14ac:dyDescent="0.35">
      <c r="A35" s="2">
        <v>34</v>
      </c>
      <c r="B35" s="2" t="s">
        <v>103</v>
      </c>
      <c r="C35" s="2" t="s">
        <v>54</v>
      </c>
      <c r="D35" s="2" t="s">
        <v>101</v>
      </c>
      <c r="E35" s="2" t="s">
        <v>75</v>
      </c>
    </row>
    <row r="36" spans="1:5" x14ac:dyDescent="0.35">
      <c r="A36" s="2">
        <v>35</v>
      </c>
      <c r="B36" s="2" t="s">
        <v>109</v>
      </c>
      <c r="C36" s="2" t="s">
        <v>56</v>
      </c>
      <c r="D36" s="2" t="s">
        <v>114</v>
      </c>
      <c r="E36" s="2" t="s">
        <v>75</v>
      </c>
    </row>
    <row r="37" spans="1:5" x14ac:dyDescent="0.35">
      <c r="A37" s="2">
        <v>36</v>
      </c>
      <c r="B37" s="2" t="s">
        <v>115</v>
      </c>
      <c r="C37" s="2" t="s">
        <v>56</v>
      </c>
      <c r="D37" s="2" t="s">
        <v>114</v>
      </c>
      <c r="E37" s="2" t="s">
        <v>75</v>
      </c>
    </row>
    <row r="38" spans="1:5" x14ac:dyDescent="0.35">
      <c r="A38" s="2">
        <v>37</v>
      </c>
      <c r="B38" s="2" t="s">
        <v>116</v>
      </c>
      <c r="C38" s="2" t="s">
        <v>56</v>
      </c>
      <c r="D38" s="2" t="s">
        <v>114</v>
      </c>
      <c r="E38" s="2" t="s">
        <v>75</v>
      </c>
    </row>
    <row r="39" spans="1:5" x14ac:dyDescent="0.35">
      <c r="A39" s="2">
        <v>38</v>
      </c>
      <c r="B39" s="2" t="s">
        <v>112</v>
      </c>
      <c r="C39" s="2" t="s">
        <v>56</v>
      </c>
      <c r="D39" s="2" t="s">
        <v>114</v>
      </c>
      <c r="E39" s="2" t="s">
        <v>74</v>
      </c>
    </row>
    <row r="40" spans="1:5" x14ac:dyDescent="0.35">
      <c r="A40" s="2">
        <v>39</v>
      </c>
      <c r="B40" s="2" t="s">
        <v>113</v>
      </c>
      <c r="C40" s="2" t="s">
        <v>56</v>
      </c>
      <c r="D40" s="2" t="s">
        <v>114</v>
      </c>
      <c r="E40" s="2" t="s">
        <v>74</v>
      </c>
    </row>
    <row r="41" spans="1:5" x14ac:dyDescent="0.35">
      <c r="A41" s="2">
        <v>40</v>
      </c>
      <c r="B41" s="2" t="s">
        <v>117</v>
      </c>
      <c r="C41" s="2" t="s">
        <v>56</v>
      </c>
      <c r="D41" s="2" t="s">
        <v>114</v>
      </c>
      <c r="E41" s="2" t="s">
        <v>75</v>
      </c>
    </row>
    <row r="42" spans="1:5" x14ac:dyDescent="0.35">
      <c r="A42" s="2">
        <v>41</v>
      </c>
      <c r="B42" s="2" t="s">
        <v>118</v>
      </c>
      <c r="C42" s="2" t="s">
        <v>56</v>
      </c>
      <c r="D42" s="2" t="s">
        <v>114</v>
      </c>
      <c r="E42" s="2" t="s">
        <v>75</v>
      </c>
    </row>
    <row r="43" spans="1:5" x14ac:dyDescent="0.35">
      <c r="A43" s="2">
        <v>42</v>
      </c>
      <c r="B43" s="2" t="s">
        <v>119</v>
      </c>
      <c r="C43" s="2" t="s">
        <v>56</v>
      </c>
      <c r="D43" s="2" t="s">
        <v>114</v>
      </c>
      <c r="E43" s="2" t="s">
        <v>75</v>
      </c>
    </row>
    <row r="44" spans="1:5" x14ac:dyDescent="0.35">
      <c r="A44" s="2">
        <v>43</v>
      </c>
      <c r="B44" s="2" t="s">
        <v>120</v>
      </c>
      <c r="C44" s="2" t="s">
        <v>56</v>
      </c>
      <c r="D44" s="2" t="s">
        <v>114</v>
      </c>
      <c r="E44" s="2" t="s">
        <v>75</v>
      </c>
    </row>
    <row r="45" spans="1:5" x14ac:dyDescent="0.35">
      <c r="A45" s="2">
        <v>44</v>
      </c>
      <c r="B45" s="2" t="s">
        <v>123</v>
      </c>
      <c r="C45" s="2" t="s">
        <v>56</v>
      </c>
      <c r="D45" s="2" t="s">
        <v>114</v>
      </c>
      <c r="E45" s="2" t="s">
        <v>74</v>
      </c>
    </row>
    <row r="46" spans="1:5" x14ac:dyDescent="0.35">
      <c r="A46" s="2">
        <v>45</v>
      </c>
      <c r="B46" s="2" t="s">
        <v>65</v>
      </c>
      <c r="C46" s="2" t="s">
        <v>56</v>
      </c>
      <c r="D46" s="2" t="s">
        <v>66</v>
      </c>
      <c r="E46" s="2" t="s">
        <v>49</v>
      </c>
    </row>
    <row r="47" spans="1:5" x14ac:dyDescent="0.35">
      <c r="A47" s="2">
        <v>46</v>
      </c>
      <c r="B47" s="2" t="s">
        <v>111</v>
      </c>
      <c r="C47" s="2" t="s">
        <v>56</v>
      </c>
      <c r="D47" s="2" t="s">
        <v>66</v>
      </c>
      <c r="E47" s="2" t="s">
        <v>75</v>
      </c>
    </row>
    <row r="48" spans="1:5" x14ac:dyDescent="0.35">
      <c r="A48" s="2">
        <v>47</v>
      </c>
      <c r="B48" s="2" t="s">
        <v>110</v>
      </c>
      <c r="C48" s="2" t="s">
        <v>56</v>
      </c>
      <c r="D48" s="2" t="s">
        <v>66</v>
      </c>
      <c r="E48" s="2" t="s">
        <v>74</v>
      </c>
    </row>
    <row r="49" spans="1:5" x14ac:dyDescent="0.35">
      <c r="A49" s="2">
        <v>48</v>
      </c>
      <c r="B49" s="2" t="s">
        <v>121</v>
      </c>
      <c r="C49" s="2" t="s">
        <v>56</v>
      </c>
      <c r="D49" s="2" t="s">
        <v>66</v>
      </c>
      <c r="E49" s="2" t="s">
        <v>49</v>
      </c>
    </row>
    <row r="50" spans="1:5" x14ac:dyDescent="0.35">
      <c r="A50" s="2">
        <v>49</v>
      </c>
      <c r="B50" s="2" t="s">
        <v>122</v>
      </c>
      <c r="C50" s="2" t="s">
        <v>56</v>
      </c>
      <c r="D50" s="2" t="s">
        <v>66</v>
      </c>
      <c r="E50" s="2" t="s">
        <v>74</v>
      </c>
    </row>
    <row r="51" spans="1:5" x14ac:dyDescent="0.35">
      <c r="A51" s="2">
        <v>50</v>
      </c>
      <c r="B51" s="2" t="s">
        <v>112</v>
      </c>
      <c r="C51" s="2" t="s">
        <v>56</v>
      </c>
      <c r="D51" s="2" t="s">
        <v>66</v>
      </c>
      <c r="E51" s="2" t="s">
        <v>74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PolicyActions</vt:lpstr>
      <vt:lpstr>EconomicVariables</vt:lpstr>
      <vt:lpstr>PolicyEffects</vt:lpstr>
      <vt:lpstr>DiagramData</vt:lpstr>
      <vt:lpstr>EconomicEvents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Suxiu Yu</dc:creator>
  <cp:lastModifiedBy>Suxiu Yu</cp:lastModifiedBy>
  <dcterms:created xsi:type="dcterms:W3CDTF">2025-02-21T05:34:19Z</dcterms:created>
  <dcterms:modified xsi:type="dcterms:W3CDTF">2025-02-23T07:57:35Z</dcterms:modified>
</cp:coreProperties>
</file>